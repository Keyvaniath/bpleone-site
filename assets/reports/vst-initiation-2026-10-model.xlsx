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Owner\AppData\Local\Temp\claude\C--Users-Owner\0a43abb4-bab6-4458-ac0f-dc0d0b0b882b\scratchpad\"/>
    </mc:Choice>
  </mc:AlternateContent>
  <xr:revisionPtr revIDLastSave="0" documentId="13_ncr:1_{A0B26701-AD23-4C27-A0D6-9320D1F85C86}" xr6:coauthVersionLast="47" xr6:coauthVersionMax="47" xr10:uidLastSave="{00000000-0000-0000-0000-000000000000}"/>
  <bookViews>
    <workbookView xWindow="6705" yWindow="660" windowWidth="28800" windowHeight="15975" xr2:uid="{00000000-000D-0000-FFFF-FFFF00000000}"/>
  </bookViews>
  <sheets>
    <sheet name="README" sheetId="1" r:id="rId1"/>
    <sheet name="Assumptions" sheetId="2" r:id="rId2"/>
    <sheet name="Scenarios" sheetId="3" r:id="rId3"/>
    <sheet name="DCF" sheetId="4" r:id="rId4"/>
    <sheet name="Reverse DCF" sheetId="5" r:id="rId5"/>
    <sheet name="Comps" sheetId="6" r:id="rId6"/>
    <sheet name="Statements" sheetId="7" r:id="rId7"/>
    <sheet name="Sensitiv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7" l="1"/>
  <c r="E32" i="7" s="1"/>
  <c r="D31" i="7"/>
  <c r="D32" i="7" s="1"/>
  <c r="C59" i="2" s="1"/>
  <c r="C22" i="6" s="1"/>
  <c r="C31" i="7"/>
  <c r="C32" i="7" s="1"/>
  <c r="E28" i="7"/>
  <c r="E29" i="7" s="1"/>
  <c r="D28" i="7"/>
  <c r="D29" i="7" s="1"/>
  <c r="C28" i="7"/>
  <c r="C29" i="7" s="1"/>
  <c r="D22" i="6"/>
  <c r="D21" i="6"/>
  <c r="D20" i="6"/>
  <c r="D16" i="6"/>
  <c r="C12" i="5"/>
  <c r="L14" i="3"/>
  <c r="K14" i="3"/>
  <c r="J14" i="3"/>
  <c r="I14" i="3"/>
  <c r="H14" i="3"/>
  <c r="G14" i="3"/>
  <c r="F14" i="3"/>
  <c r="E14" i="3"/>
  <c r="D14" i="3"/>
  <c r="C14" i="3"/>
  <c r="C13" i="3"/>
  <c r="C12" i="3"/>
  <c r="E9" i="3"/>
  <c r="E58" i="4" s="1"/>
  <c r="D9" i="3"/>
  <c r="D58" i="4" s="1"/>
  <c r="C9" i="3"/>
  <c r="C58" i="4" s="1"/>
  <c r="G7" i="3"/>
  <c r="E7" i="3"/>
  <c r="D7" i="3"/>
  <c r="D41" i="4" s="1"/>
  <c r="C7" i="3"/>
  <c r="C41" i="4" s="1"/>
  <c r="G6" i="3"/>
  <c r="G24" i="4" s="1"/>
  <c r="E6" i="3"/>
  <c r="E24" i="4" s="1"/>
  <c r="D6" i="3"/>
  <c r="C6" i="3"/>
  <c r="G5" i="3"/>
  <c r="E5" i="3"/>
  <c r="D5" i="3"/>
  <c r="D7" i="4" s="1"/>
  <c r="C5" i="3"/>
  <c r="C7" i="4" s="1"/>
  <c r="C57" i="2"/>
  <c r="C31" i="2"/>
  <c r="C36" i="4" s="1"/>
  <c r="C15" i="2"/>
  <c r="C16" i="2" s="1"/>
  <c r="C21" i="6" l="1"/>
  <c r="C25" i="4"/>
  <c r="C42" i="4"/>
  <c r="C44" i="4" s="1"/>
  <c r="C46" i="4" s="1"/>
  <c r="C26" i="4"/>
  <c r="C43" i="4"/>
  <c r="H7" i="3"/>
  <c r="G41" i="4"/>
  <c r="F7" i="3"/>
  <c r="E41" i="4"/>
  <c r="D8" i="7"/>
  <c r="D24" i="4"/>
  <c r="C8" i="7"/>
  <c r="C24" i="4"/>
  <c r="C8" i="4"/>
  <c r="C59" i="4"/>
  <c r="D13" i="3"/>
  <c r="C60" i="4"/>
  <c r="C9" i="4"/>
  <c r="C9" i="7"/>
  <c r="C10" i="7" s="1"/>
  <c r="C12" i="7" s="1"/>
  <c r="D12" i="3"/>
  <c r="I7" i="3"/>
  <c r="H41" i="4"/>
  <c r="F41" i="4"/>
  <c r="G9" i="3"/>
  <c r="H6" i="3"/>
  <c r="E8" i="7"/>
  <c r="F6" i="3"/>
  <c r="C13" i="7"/>
  <c r="C14" i="7" s="1"/>
  <c r="C16" i="7" s="1"/>
  <c r="C24" i="7" s="1"/>
  <c r="G7" i="4"/>
  <c r="H5" i="3"/>
  <c r="E7" i="4"/>
  <c r="F5" i="3"/>
  <c r="C19" i="4"/>
  <c r="C70" i="4"/>
  <c r="C53" i="4"/>
  <c r="C27" i="4" l="1"/>
  <c r="C29" i="4" s="1"/>
  <c r="E13" i="3"/>
  <c r="D9" i="4"/>
  <c r="D26" i="4"/>
  <c r="D43" i="4"/>
  <c r="D60" i="4"/>
  <c r="E12" i="3"/>
  <c r="D25" i="4"/>
  <c r="D9" i="7"/>
  <c r="D10" i="7" s="1"/>
  <c r="D12" i="7" s="1"/>
  <c r="D42" i="4"/>
  <c r="D44" i="4" s="1"/>
  <c r="D46" i="4" s="1"/>
  <c r="J7" i="3"/>
  <c r="I41" i="4"/>
  <c r="I6" i="3"/>
  <c r="H9" i="3"/>
  <c r="H24" i="4"/>
  <c r="F9" i="3"/>
  <c r="F24" i="4"/>
  <c r="I5" i="3"/>
  <c r="H7" i="4"/>
  <c r="C10" i="4"/>
  <c r="C12" i="4" s="1"/>
  <c r="C61" i="4"/>
  <c r="C63" i="4" s="1"/>
  <c r="D8" i="4"/>
  <c r="D59" i="4"/>
  <c r="G58" i="4"/>
  <c r="F7" i="4"/>
  <c r="D27" i="4" l="1"/>
  <c r="F13" i="3"/>
  <c r="E9" i="4"/>
  <c r="E43" i="4"/>
  <c r="E60" i="4"/>
  <c r="E26" i="4"/>
  <c r="E8" i="4"/>
  <c r="E10" i="4" s="1"/>
  <c r="E12" i="4" s="1"/>
  <c r="E59" i="4"/>
  <c r="F12" i="3"/>
  <c r="F59" i="4" s="1"/>
  <c r="E42" i="4"/>
  <c r="E9" i="7"/>
  <c r="E10" i="7" s="1"/>
  <c r="E12" i="7" s="1"/>
  <c r="E25" i="4"/>
  <c r="E27" i="4" s="1"/>
  <c r="D29" i="4"/>
  <c r="D13" i="7"/>
  <c r="D14" i="7" s="1"/>
  <c r="D16" i="7" s="1"/>
  <c r="D24" i="7" s="1"/>
  <c r="C61" i="2" s="1"/>
  <c r="C23" i="6" s="1"/>
  <c r="K7" i="3"/>
  <c r="J41" i="4"/>
  <c r="J6" i="3"/>
  <c r="I9" i="3"/>
  <c r="I24" i="4"/>
  <c r="H58" i="4"/>
  <c r="F58" i="4"/>
  <c r="J5" i="3"/>
  <c r="I7" i="4"/>
  <c r="D10" i="4"/>
  <c r="D12" i="4" s="1"/>
  <c r="D61" i="4"/>
  <c r="D63" i="4" s="1"/>
  <c r="E61" i="4" l="1"/>
  <c r="E63" i="4" s="1"/>
  <c r="E44" i="4"/>
  <c r="E46" i="4" s="1"/>
  <c r="G13" i="3"/>
  <c r="F9" i="4"/>
  <c r="F26" i="4"/>
  <c r="F43" i="4"/>
  <c r="F60" i="4"/>
  <c r="F61" i="4" s="1"/>
  <c r="F63" i="4" s="1"/>
  <c r="F8" i="4"/>
  <c r="F10" i="4" s="1"/>
  <c r="F12" i="4" s="1"/>
  <c r="F25" i="4"/>
  <c r="F27" i="4" s="1"/>
  <c r="F42" i="4"/>
  <c r="F44" i="4" s="1"/>
  <c r="F46" i="4" s="1"/>
  <c r="G12" i="3"/>
  <c r="E13" i="7"/>
  <c r="E14" i="7" s="1"/>
  <c r="E16" i="7" s="1"/>
  <c r="E24" i="7" s="1"/>
  <c r="L7" i="3"/>
  <c r="K41" i="4"/>
  <c r="K6" i="3"/>
  <c r="J9" i="3"/>
  <c r="J24" i="4"/>
  <c r="I58" i="4"/>
  <c r="K5" i="3"/>
  <c r="J7" i="4"/>
  <c r="E29" i="4"/>
  <c r="H13" i="3" l="1"/>
  <c r="G9" i="4"/>
  <c r="G26" i="4"/>
  <c r="G43" i="4"/>
  <c r="G60" i="4"/>
  <c r="F29" i="4"/>
  <c r="G59" i="4"/>
  <c r="G8" i="4"/>
  <c r="H12" i="3"/>
  <c r="G42" i="4"/>
  <c r="G25" i="4"/>
  <c r="L41" i="4"/>
  <c r="L6" i="3"/>
  <c r="K9" i="3"/>
  <c r="K24" i="4"/>
  <c r="J58" i="4"/>
  <c r="L5" i="3"/>
  <c r="K7" i="4"/>
  <c r="I13" i="3" l="1"/>
  <c r="H26" i="4"/>
  <c r="H43" i="4"/>
  <c r="H60" i="4"/>
  <c r="H9" i="4"/>
  <c r="H59" i="4"/>
  <c r="H61" i="4" s="1"/>
  <c r="H63" i="4" s="1"/>
  <c r="H25" i="4"/>
  <c r="H27" i="4" s="1"/>
  <c r="H29" i="4" s="1"/>
  <c r="H8" i="4"/>
  <c r="H10" i="4" s="1"/>
  <c r="H12" i="4" s="1"/>
  <c r="H42" i="4"/>
  <c r="I12" i="3"/>
  <c r="C48" i="4"/>
  <c r="L9" i="3"/>
  <c r="L24" i="4"/>
  <c r="K58" i="4"/>
  <c r="L7" i="4"/>
  <c r="G61" i="4"/>
  <c r="G63" i="4" s="1"/>
  <c r="G10" i="4"/>
  <c r="G12" i="4" s="1"/>
  <c r="G44" i="4"/>
  <c r="G46" i="4" s="1"/>
  <c r="G27" i="4"/>
  <c r="J13" i="3" l="1"/>
  <c r="I43" i="4"/>
  <c r="I9" i="4"/>
  <c r="I60" i="4"/>
  <c r="I26" i="4"/>
  <c r="I59" i="4"/>
  <c r="I61" i="4" s="1"/>
  <c r="I63" i="4" s="1"/>
  <c r="I8" i="4"/>
  <c r="I10" i="4" s="1"/>
  <c r="I12" i="4" s="1"/>
  <c r="I25" i="4"/>
  <c r="I27" i="4" s="1"/>
  <c r="I42" i="4"/>
  <c r="I44" i="4" s="1"/>
  <c r="I46" i="4" s="1"/>
  <c r="J12" i="3"/>
  <c r="L58" i="4"/>
  <c r="C31" i="4"/>
  <c r="C14" i="4"/>
  <c r="G29" i="4"/>
  <c r="H44" i="4"/>
  <c r="H46" i="4" s="1"/>
  <c r="K13" i="3" l="1"/>
  <c r="J43" i="4"/>
  <c r="J60" i="4"/>
  <c r="J9" i="4"/>
  <c r="J26" i="4"/>
  <c r="J59" i="4"/>
  <c r="J8" i="4"/>
  <c r="J25" i="4"/>
  <c r="J42" i="4"/>
  <c r="K12" i="3"/>
  <c r="C65" i="4"/>
  <c r="I29" i="4"/>
  <c r="J44" i="4" l="1"/>
  <c r="J46" i="4" s="1"/>
  <c r="L13" i="3"/>
  <c r="K9" i="4"/>
  <c r="K26" i="4"/>
  <c r="K43" i="4"/>
  <c r="K60" i="4"/>
  <c r="K59" i="4"/>
  <c r="K61" i="4" s="1"/>
  <c r="K63" i="4" s="1"/>
  <c r="K8" i="4"/>
  <c r="K25" i="4"/>
  <c r="K42" i="4"/>
  <c r="L12" i="3"/>
  <c r="J61" i="4"/>
  <c r="J63" i="4" s="1"/>
  <c r="J10" i="4"/>
  <c r="J12" i="4" s="1"/>
  <c r="J27" i="4"/>
  <c r="L43" i="4" l="1"/>
  <c r="L9" i="4"/>
  <c r="L26" i="4"/>
  <c r="L60" i="4"/>
  <c r="L59" i="4"/>
  <c r="L61" i="4" s="1"/>
  <c r="L8" i="4"/>
  <c r="L10" i="4" s="1"/>
  <c r="L25" i="4"/>
  <c r="L27" i="4" s="1"/>
  <c r="L42" i="4"/>
  <c r="L44" i="4" s="1"/>
  <c r="J29" i="4"/>
  <c r="I8" i="8"/>
  <c r="K27" i="4"/>
  <c r="K10" i="4"/>
  <c r="K12" i="4" s="1"/>
  <c r="K44" i="4"/>
  <c r="K46" i="4" s="1"/>
  <c r="F8" i="8" l="1"/>
  <c r="C6" i="8"/>
  <c r="C5" i="8"/>
  <c r="E5" i="8"/>
  <c r="E9" i="8"/>
  <c r="I5" i="8"/>
  <c r="F9" i="8"/>
  <c r="H5" i="8"/>
  <c r="G6" i="8"/>
  <c r="E8" i="8"/>
  <c r="C66" i="4"/>
  <c r="C67" i="4" s="1"/>
  <c r="C68" i="4" s="1"/>
  <c r="L63" i="4"/>
  <c r="C64" i="4" s="1"/>
  <c r="C15" i="4"/>
  <c r="C16" i="4" s="1"/>
  <c r="C17" i="4" s="1"/>
  <c r="L12" i="4"/>
  <c r="C13" i="4" s="1"/>
  <c r="C18" i="4" s="1"/>
  <c r="C20" i="4" s="1"/>
  <c r="C21" i="4" s="1"/>
  <c r="C32" i="4"/>
  <c r="C33" i="4" s="1"/>
  <c r="C34" i="4" s="1"/>
  <c r="L29" i="4"/>
  <c r="C49" i="4"/>
  <c r="C50" i="4" s="1"/>
  <c r="C51" i="4" s="1"/>
  <c r="L46" i="4"/>
  <c r="C47" i="4" s="1"/>
  <c r="C52" i="4" s="1"/>
  <c r="C54" i="4" s="1"/>
  <c r="C55" i="4" s="1"/>
  <c r="F6" i="8"/>
  <c r="G7" i="8"/>
  <c r="C7" i="8"/>
  <c r="C8" i="8"/>
  <c r="I9" i="8"/>
  <c r="E7" i="8"/>
  <c r="K29" i="4"/>
  <c r="C8" i="5" s="1"/>
  <c r="H9" i="8"/>
  <c r="F7" i="8"/>
  <c r="D5" i="8"/>
  <c r="D9" i="8"/>
  <c r="E6" i="8"/>
  <c r="G5" i="8"/>
  <c r="I6" i="8"/>
  <c r="F5" i="8"/>
  <c r="G9" i="8"/>
  <c r="H7" i="8"/>
  <c r="D7" i="8"/>
  <c r="H6" i="8"/>
  <c r="D6" i="8"/>
  <c r="C9" i="8"/>
  <c r="D8" i="8"/>
  <c r="I7" i="8"/>
  <c r="H8" i="8"/>
  <c r="G8" i="8"/>
  <c r="C69" i="4" l="1"/>
  <c r="C30" i="4"/>
  <c r="C35" i="4" s="1"/>
  <c r="E52" i="4"/>
  <c r="E18" i="4"/>
  <c r="C71" i="4" l="1"/>
  <c r="C72" i="4" s="1"/>
  <c r="E69" i="4"/>
  <c r="C37" i="4"/>
  <c r="C38" i="4" s="1"/>
  <c r="C75" i="4" s="1"/>
  <c r="C20" i="6" s="1"/>
  <c r="C25" i="6" s="1"/>
  <c r="C26" i="6" s="1"/>
  <c r="C27" i="6" s="1"/>
  <c r="E35" i="4"/>
</calcChain>
</file>

<file path=xl/sharedStrings.xml><?xml version="1.0" encoding="utf-8"?>
<sst xmlns="http://schemas.openxmlformats.org/spreadsheetml/2006/main" count="296" uniqueCount="208">
  <si>
    <t>Vistra (NYSE: VST) — Initiation model</t>
  </si>
  <si>
    <t>Accompanies the coverage initiation of October 3, 2026 (bpleon.com/vst-initiation-2026-10-03). HOLD, 12-18 month price target $140.</t>
  </si>
  <si>
    <t>Priced at the September 30, 2026 close of $138.35. Ten-year unlevered DCF (Q4 2026 stub + 2027-2035), mid-year convention,</t>
  </si>
  <si>
    <t>terminal value = 50% x 9.0x 2035E EBITDA + 50% Gordon growth at 2.5%. WACC 8.70%. Three scenarios, probability-weighted.</t>
  </si>
  <si>
    <t>Tabs: Assumptions (every input, color-keyed) · Scenarios (EBITDA paths) · DCF (all three cases + weighting) · Reverse DCF</t>
  </si>
  <si>
    <t>(what the Street's $218 requires) · Comps (IPP peers + the four lenses and target weighting) · 3-Statement (condensed build)</t>
  </si>
  <si>
    <t>· Sensitivity (WACC x exit multiple).</t>
  </si>
  <si>
    <t>Inputs are shaded cream; formulas flow from them. Change an input and the target rebuilds.</t>
  </si>
  <si>
    <t>Sourcing: company filings and releases (T1), named data providers (T2); desk assumptions marked [A] on the Assumptions tab.</t>
  </si>
  <si>
    <t>Released October 26, 2026, incorporating the October 20 corrections to the note (rating, target and estimates unchanged).</t>
  </si>
  <si>
    <t>Disclosure: the author holds a long position in Vistra (25 shares, bought September 30, 2026, before publication of the note</t>
  </si>
  <si>
    <t>— see the dated correction on the note). Research and opinion, not investment advice. (c) 2026 Brandon Leon / bpleon.com.</t>
  </si>
  <si>
    <t>Assumptions — every input to the model</t>
  </si>
  <si>
    <t>Shaded cells are inputs. [A] = desk assumption; everything else is sourced in the note's footnotes.</t>
  </si>
  <si>
    <t>WACC build (note fn 12)</t>
  </si>
  <si>
    <t>Risk-free rate (10-yr UST, 9/29/26)</t>
  </si>
  <si>
    <t>US Treasury</t>
  </si>
  <si>
    <t>Beta (peers unlevered, relevered at VST pro forma)</t>
  </si>
  <si>
    <t>desk calc</t>
  </si>
  <si>
    <t>Equity risk premium (Damodaran implied, 9/1/26)</t>
  </si>
  <si>
    <t>Pre-tax cost of debt</t>
  </si>
  <si>
    <t>[A] recent issuance + curve</t>
  </si>
  <si>
    <t>Tax rate for WACC / statutory</t>
  </si>
  <si>
    <t>Cost of hybrids (preferred/juniors)</t>
  </si>
  <si>
    <t>[A] blended coupon</t>
  </si>
  <si>
    <t>Weight: equity</t>
  </si>
  <si>
    <t>Weight: debt</t>
  </si>
  <si>
    <t>Weight: hybrids</t>
  </si>
  <si>
    <t>Cost of equity</t>
  </si>
  <si>
    <t>WACC</t>
  </si>
  <si>
    <t>Terminal value &amp; convention</t>
  </si>
  <si>
    <t>Exit multiple on 2035E EBITDA</t>
  </si>
  <si>
    <t>Perpetual growth (Gordon)</t>
  </si>
  <si>
    <t>Exit / Gordon blend weight on exit</t>
  </si>
  <si>
    <t>Horizon end discount period (years)</t>
  </si>
  <si>
    <t>Q4'26 stub + 9 full years</t>
  </si>
  <si>
    <t>Equity bridge ($M, 6/30/26 pro forma; note fn 12)</t>
  </si>
  <si>
    <t>Funded debt</t>
  </si>
  <si>
    <t>10-Q: LTD incl current 19,595 + A/R financing 300</t>
  </si>
  <si>
    <t>Preferred stock (liquidation)</t>
  </si>
  <si>
    <t>Vistra Vision forward repurchase obligation</t>
  </si>
  <si>
    <t>Cogentrix cash + assumed debt</t>
  </si>
  <si>
    <t>2.3B cash + 1.5B assumed</t>
  </si>
  <si>
    <t>Less: cash</t>
  </si>
  <si>
    <t>Less: acquired tax benefits</t>
  </si>
  <si>
    <t>Bridge total ($M)</t>
  </si>
  <si>
    <t>Shares outstanding, pro forma (M)</t>
  </si>
  <si>
    <t>335.6M (10-Q cover) + 5.0M Cogentrix</t>
  </si>
  <si>
    <t>Reference price (9/30/26 close)</t>
  </si>
  <si>
    <t>Operating assumptions ($B unless noted)</t>
  </si>
  <si>
    <t>D&amp;A, 2026</t>
  </si>
  <si>
    <t>[A]</t>
  </si>
  <si>
    <t>D&amp;A growth</t>
  </si>
  <si>
    <t>Capex (incl nuclear fuel), 2026</t>
  </si>
  <si>
    <t>[A] vs H1'26 actual 1.572</t>
  </si>
  <si>
    <t>Capex growth</t>
  </si>
  <si>
    <t>Cash tax rate 2026</t>
  </si>
  <si>
    <t>loss carryforwards</t>
  </si>
  <si>
    <t>Cash tax rate 2027</t>
  </si>
  <si>
    <t>Cash tax rate 2028</t>
  </si>
  <si>
    <t>Cash tax rate 2029 on (statutory)</t>
  </si>
  <si>
    <t>Scenario EBITDA anchors ($B) and probabilities</t>
  </si>
  <si>
    <t>2026</t>
  </si>
  <si>
    <t>2027</t>
  </si>
  <si>
    <t>2028</t>
  </si>
  <si>
    <t>2030</t>
  </si>
  <si>
    <t>post-2030 growth</t>
  </si>
  <si>
    <t>probability</t>
  </si>
  <si>
    <t>Pessimistic</t>
  </si>
  <si>
    <t>Base</t>
  </si>
  <si>
    <t>Optimistic</t>
  </si>
  <si>
    <t>2029 interpolates geometrically between 2028 and 2030: =SQRT(e28*e30).</t>
  </si>
  <si>
    <t>Consensus EBITDA 2026-28 (MarketScreener, 9/30): 7.23 / 8.05 / 8.79; after 2028 the consensus check holds the 2028 premium to the base path.</t>
  </si>
  <si>
    <t>Consensus 2026</t>
  </si>
  <si>
    <t>Consensus 2027</t>
  </si>
  <si>
    <t>Consensus 2028</t>
  </si>
  <si>
    <t>Lens inputs</t>
  </si>
  <si>
    <t>IPP average EV/EBITDA (CEG, TLN, NRG)</t>
  </si>
  <si>
    <t>computed on Comps</t>
  </si>
  <si>
    <t>FCF-yield capitalization rate</t>
  </si>
  <si>
    <t>2027E FCF after growth capex &amp; preferred ($B)</t>
  </si>
  <si>
    <t>built on 3-Statement</t>
  </si>
  <si>
    <t>Peer median P/E (cross-check)</t>
  </si>
  <si>
    <t>2027E EPS, desk ($)</t>
  </si>
  <si>
    <t>Lens weights: DCF 50% · EV/EBITDA 25% · FCF yield 25% · P/E 0% (cross-check only)</t>
  </si>
  <si>
    <t>Weight: DCF (PW)</t>
  </si>
  <si>
    <t>Weight: EV/EBITDA</t>
  </si>
  <si>
    <t>Weight: FCF yield</t>
  </si>
  <si>
    <t>Adjusted EBITDA paths, 2026-2035 ($B)</t>
  </si>
  <si>
    <t>Consensus check</t>
  </si>
  <si>
    <t>Common cost structure ($B)</t>
  </si>
  <si>
    <t>D&amp;A</t>
  </si>
  <si>
    <t>Capex incl nuclear fuel</t>
  </si>
  <si>
    <t>Cash tax rate</t>
  </si>
  <si>
    <t>Scenario definitions — Pessimistic: the Texas curve is right, PJM capacity normalizes after 2029. Base: no Texas deal beyond AWS, PJM flat after the cap. Optimistic: a second Texas hyperscaler deal, ERCOT recovers.</t>
  </si>
  <si>
    <t>Ten-year unlevered DCF — Q4 2026 stub + 2027-2035, mid-year convention</t>
  </si>
  <si>
    <t>FCFF = EBITDA − cash taxes on EBIT − capex. TV = blend of exit multiple and Gordon. All $B except per-share.</t>
  </si>
  <si>
    <t>Pessimistic (25%)</t>
  </si>
  <si>
    <t>Q4'26</t>
  </si>
  <si>
    <t>2029</t>
  </si>
  <si>
    <t>2031</t>
  </si>
  <si>
    <t>2032</t>
  </si>
  <si>
    <t>2033</t>
  </si>
  <si>
    <t>2034</t>
  </si>
  <si>
    <t>2035</t>
  </si>
  <si>
    <t>EBITDA</t>
  </si>
  <si>
    <t>Less: cash taxes</t>
  </si>
  <si>
    <t>Less: capex</t>
  </si>
  <si>
    <t>FCFF</t>
  </si>
  <si>
    <t>Discount period (mid-year)</t>
  </si>
  <si>
    <t>PV of FCFF</t>
  </si>
  <si>
    <t>Sum PV, explicit period</t>
  </si>
  <si>
    <t>TV: exit component (9.0x 2035E EBITDA)</t>
  </si>
  <si>
    <t>TV: Gordon component</t>
  </si>
  <si>
    <t>Terminal value (blend)</t>
  </si>
  <si>
    <t>PV of terminal value</t>
  </si>
  <si>
    <t>Enterprise value</t>
  </si>
  <si>
    <t>TV share of EV:</t>
  </si>
  <si>
    <t>Less: bridge ($B)</t>
  </si>
  <si>
    <t>Equity value ($B)</t>
  </si>
  <si>
    <t>Per share ($)</t>
  </si>
  <si>
    <t>Base (50%)</t>
  </si>
  <si>
    <t>Optimistic (25%)</t>
  </si>
  <si>
    <t>Consensus-EBITDA check (not weighted)</t>
  </si>
  <si>
    <t>Probability-weighted DCF value</t>
  </si>
  <si>
    <t>Pess x 25% + Base x 50% + Opt x 25%</t>
  </si>
  <si>
    <t>Reverse DCF — what the Street's $218 mean target requires</t>
  </si>
  <si>
    <t>Hold the base-case cash flows fixed and solve for the market's implied inputs.</t>
  </si>
  <si>
    <t>Exit-multiple route (terminal value = 100% exit multiple, WACC 8.70%)</t>
  </si>
  <si>
    <t>2035 exit multiple required for $218</t>
  </si>
  <si>
    <t>value at that multiple (check)</t>
  </si>
  <si>
    <t>Discount-rate route (blended terminal value as in the primary DCF)</t>
  </si>
  <si>
    <t>WACC required for $218</t>
  </si>
  <si>
    <t>implied cost of equity at VST's weights</t>
  </si>
  <si>
    <t>Reading</t>
  </si>
  <si>
    <t>At 8.70%, $218 needs a 15.1x multiple on a 2035 fleet of gas and aging nuclear plants - a regulated-utility multiple.</t>
  </si>
  <si>
    <t>At a 9.0x exit, $218 needs roughly a 6.5% WACC - a cost of equity under 7.5% for a beta-1.3 stock over a 5.3% Treasury.</t>
  </si>
  <si>
    <t>Re-run on consensus EBITDA (7.23/8.05/8.79 for 2026-28) the DCF gives about $161-162: $17 above our base case and $57</t>
  </si>
  <si>
    <t>below the Street mean. The disagreement is the rate, not the earnings. (The exit-multiple sensitivity here uses an</t>
  </si>
  <si>
    <t>exit-only terminal value; the primary DCF blends exit and Gordon - the distinction the note's Oct 20 note formalized.)</t>
  </si>
  <si>
    <t>Peer comparison and the four lenses</t>
  </si>
  <si>
    <t>EV / 2027E EBITDA (as of September 30; VST pro forma for Cogentrix)</t>
  </si>
  <si>
    <t>Company</t>
  </si>
  <si>
    <t>EV/2027E EBITDA</t>
  </si>
  <si>
    <t>Note</t>
  </si>
  <si>
    <t>NRG</t>
  </si>
  <si>
    <t>down 42% in a year</t>
  </si>
  <si>
    <t>Talen (TLN)</t>
  </si>
  <si>
    <t>Vistra (VST, pro forma)</t>
  </si>
  <si>
    <t>our 2027E EBITDA</t>
  </si>
  <si>
    <t>PSEG (PEG)</t>
  </si>
  <si>
    <t>Dominion (D)</t>
  </si>
  <si>
    <t>Constellation (CEG)</t>
  </si>
  <si>
    <t>nuclear premium</t>
  </si>
  <si>
    <t>IPP peers used for the lens: CEG, TLN, NRG (listed independent power producers)</t>
  </si>
  <si>
    <t>IPP average</t>
  </si>
  <si>
    <t>The four lenses (weights on Assumptions)</t>
  </si>
  <si>
    <t>Lens</t>
  </si>
  <si>
    <t>Value</t>
  </si>
  <si>
    <t>Weight</t>
  </si>
  <si>
    <t>1 - DCF, probability-weighted</t>
  </si>
  <si>
    <t>2 - EV / 2027E EBITDA at the IPP average</t>
  </si>
  <si>
    <t>3 - FCF yield at 7.0% (2027E, after growth capex &amp; preferred)</t>
  </si>
  <si>
    <t>4 - P/E at the 14.5x peer median (cross-check, unweighted)</t>
  </si>
  <si>
    <t>-</t>
  </si>
  <si>
    <t>Weighted fair value</t>
  </si>
  <si>
    <t>Price target (rounded)</t>
  </si>
  <si>
    <t>vs reference price (9/30 close $138.35)</t>
  </si>
  <si>
    <t>Condensed statements build ($B except per share) - base case</t>
  </si>
  <si>
    <t>Full revenue history is deliberately omitted: for integrated generation + retail, revenue is hedge and pass-through noise (note, section 1). EBITDA is the anchor.</t>
  </si>
  <si>
    <t>2026E</t>
  </si>
  <si>
    <t>2027E</t>
  </si>
  <si>
    <t>2028E</t>
  </si>
  <si>
    <t>Income statement</t>
  </si>
  <si>
    <t>Revenue (consensus, reference only)</t>
  </si>
  <si>
    <t>n/a</t>
  </si>
  <si>
    <t>Ongoing Ops Adjusted EBITDA</t>
  </si>
  <si>
    <t>EBIT</t>
  </si>
  <si>
    <t>Interest expense, net [A]</t>
  </si>
  <si>
    <t>Pre-tax income</t>
  </si>
  <si>
    <t>Taxes (21% book rate)</t>
  </si>
  <si>
    <t>Net income</t>
  </si>
  <si>
    <t>Preferred dividends</t>
  </si>
  <si>
    <t>Net to common</t>
  </si>
  <si>
    <t>Shares (M), avg [A: buybacks ~5M/yr]</t>
  </si>
  <si>
    <t>Consensus EPS (stockanalysis.com)</t>
  </si>
  <si>
    <t>EPS, desk ($)</t>
  </si>
  <si>
    <t>Cash flow build</t>
  </si>
  <si>
    <t>Adj. FCF before growth (guide / desk)</t>
  </si>
  <si>
    <t>FCFbG per share ($)</t>
  </si>
  <si>
    <t>FCFbG yield on $138.35</t>
  </si>
  <si>
    <t>Less: growth capex [A]</t>
  </si>
  <si>
    <t>Less: preferred dividends</t>
  </si>
  <si>
    <t>FCF after growth &amp; preferred</t>
  </si>
  <si>
    <t>Balance sheet summary (6/30/26, 10-Q)</t>
  </si>
  <si>
    <t>Cash</t>
  </si>
  <si>
    <t>Total funded debt (incl A/R financing)</t>
  </si>
  <si>
    <t>Forward repurchase obligation (Vision)</t>
  </si>
  <si>
    <t>Net debt</t>
  </si>
  <si>
    <t>Preferred (liquidation)</t>
  </si>
  <si>
    <t>Net debt / FY26 guide-mid EBITDA</t>
  </si>
  <si>
    <t>2.8x</t>
  </si>
  <si>
    <t>Management deleveraging path</t>
  </si>
  <si>
    <t>~2.3x by YE2027</t>
  </si>
  <si>
    <t>Liquidity</t>
  </si>
  <si>
    <t>Base-case value per share - WACC x exit multiple (blended TV as in the primary DCF)</t>
  </si>
  <si>
    <t>exit \ WACC</t>
  </si>
  <si>
    <t>Each 50bp of WACC is worth roughly $11-13 a share near the base case; the grid steepens as WACC approaches the 2.5% Gordon growth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</si>
</sst>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\x"/>
    <numFmt numFmtId="165" formatCode="0.0"/>
    <numFmt numFmtId="166" formatCode="\$0.00"/>
    <numFmt numFmtId="167" formatCode="0.0%"/>
    <numFmt numFmtId="168" formatCode="0.000"/>
    <numFmt numFmtId="169" formatCode="0.00\x"/>
    <numFmt numFmtId="170" formatCode="\$0"/>
  </numFmts>
  <fonts count="6" x14ac:knownFonts="1">
    <font>
      <sz val="11"/>
      <color theme="1"/>
      <name val="Calibri"/>
      <family val="2"/>
      <scheme val="minor"/>
    </font>
    <font>
      <b/>
      <sz val="14"/>
      <color rgb="FF1C1A16"/>
      <name val="Georgia"/>
    </font>
    <font>
      <sz val="10"/>
      <color rgb="FF1C1A16"/>
      <name val="Calibri"/>
    </font>
    <font>
      <i/>
      <sz val="9"/>
      <color rgb="FF8E887D"/>
      <name val="Calibri"/>
    </font>
    <font>
      <b/>
      <sz val="11"/>
      <color rgb="FFB56A3F"/>
      <name val="Georgia"/>
    </font>
    <font>
      <b/>
      <sz val="10"/>
      <color rgb="FF1C1A1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BF7EF"/>
      </patternFill>
    </fill>
    <fill>
      <patternFill patternType="solid">
        <fgColor rgb="FFFFF3E8"/>
      </patternFill>
    </fill>
    <fill>
      <patternFill patternType="solid">
        <fgColor rgb="FFF3ECE0"/>
      </patternFill>
    </fill>
  </fills>
  <borders count="2">
    <border>
      <left/>
      <right/>
      <top/>
      <bottom/>
      <diagonal/>
    </border>
    <border>
      <left style="thin">
        <color rgb="FFE6DFD0"/>
      </left>
      <right style="thin">
        <color rgb="FFE6DFD0"/>
      </right>
      <top style="thin">
        <color rgb="FFE6DFD0"/>
      </top>
      <bottom style="thin">
        <color rgb="FFE6DFD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5" fillId="2" borderId="1" xfId="0" applyNumberFormat="1" applyFont="1" applyFill="1" applyBorder="1"/>
    <xf numFmtId="2" fontId="5" fillId="2" borderId="1" xfId="0" applyNumberFormat="1" applyFont="1" applyFill="1" applyBorder="1"/>
    <xf numFmtId="9" fontId="5" fillId="2" borderId="1" xfId="0" applyNumberFormat="1" applyFont="1" applyFill="1" applyBorder="1"/>
    <xf numFmtId="0" fontId="5" fillId="0" borderId="0" xfId="0" applyFont="1"/>
    <xf numFmtId="10" fontId="5" fillId="3" borderId="1" xfId="0" applyNumberFormat="1" applyFont="1" applyFill="1" applyBorder="1"/>
    <xf numFmtId="164" fontId="5" fillId="2" borderId="1" xfId="0" applyNumberFormat="1" applyFont="1" applyFill="1" applyBorder="1"/>
    <xf numFmtId="3" fontId="5" fillId="2" borderId="1" xfId="0" applyNumberFormat="1" applyFont="1" applyFill="1" applyBorder="1"/>
    <xf numFmtId="3" fontId="5" fillId="3" borderId="1" xfId="0" applyNumberFormat="1" applyFont="1" applyFill="1" applyBorder="1"/>
    <xf numFmtId="165" fontId="5" fillId="2" borderId="1" xfId="0" applyNumberFormat="1" applyFont="1" applyFill="1" applyBorder="1"/>
    <xf numFmtId="166" fontId="5" fillId="2" borderId="1" xfId="0" applyNumberFormat="1" applyFont="1" applyFill="1" applyBorder="1"/>
    <xf numFmtId="167" fontId="5" fillId="2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5" fillId="0" borderId="1" xfId="0" applyFont="1" applyBorder="1"/>
    <xf numFmtId="2" fontId="2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5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2" fontId="5" fillId="3" borderId="1" xfId="0" applyNumberFormat="1" applyFont="1" applyFill="1" applyBorder="1"/>
    <xf numFmtId="2" fontId="2" fillId="0" borderId="1" xfId="0" applyNumberFormat="1" applyFont="1" applyBorder="1"/>
    <xf numFmtId="2" fontId="5" fillId="0" borderId="1" xfId="0" applyNumberFormat="1" applyFont="1" applyBorder="1"/>
    <xf numFmtId="9" fontId="2" fillId="0" borderId="1" xfId="0" applyNumberFormat="1" applyFont="1" applyBorder="1"/>
    <xf numFmtId="166" fontId="5" fillId="3" borderId="1" xfId="0" applyNumberFormat="1" applyFont="1" applyFill="1" applyBorder="1"/>
    <xf numFmtId="164" fontId="5" fillId="3" borderId="1" xfId="0" applyNumberFormat="1" applyFont="1" applyFill="1" applyBorder="1"/>
    <xf numFmtId="166" fontId="2" fillId="0" borderId="1" xfId="0" applyNumberFormat="1" applyFont="1" applyBorder="1"/>
    <xf numFmtId="10" fontId="2" fillId="0" borderId="1" xfId="0" applyNumberFormat="1" applyFont="1" applyBorder="1"/>
    <xf numFmtId="0" fontId="5" fillId="4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9" fontId="5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170" fontId="5" fillId="3" borderId="1" xfId="0" applyNumberFormat="1" applyFont="1" applyFill="1" applyBorder="1"/>
    <xf numFmtId="167" fontId="2" fillId="0" borderId="1" xfId="0" applyNumberFormat="1" applyFont="1" applyBorder="1"/>
    <xf numFmtId="165" fontId="2" fillId="2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5" fillId="3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7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6"/>
  <sheetViews>
    <sheetView showGridLines="0" tabSelected="1" workbookViewId="0"/>
  </sheetViews>
  <sheetFormatPr defaultRowHeight="15" x14ac:dyDescent="0.25"/>
  <cols>
    <col min="1" max="1" width="2" customWidth="1"/>
    <col min="2" max="2" width="110" customWidth="1"/>
  </cols>
  <sheetData>
    <row r="2" spans="2:2" ht="18" x14ac:dyDescent="0.25">
      <c r="B2" s="1" t="s">
        <v>0</v>
      </c>
    </row>
    <row r="4" spans="2:2" x14ac:dyDescent="0.25">
      <c r="B4" s="2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7" spans="2:2" x14ac:dyDescent="0.25">
      <c r="B7" s="2"/>
    </row>
    <row r="8" spans="2:2" x14ac:dyDescent="0.25">
      <c r="B8" s="2" t="s">
        <v>4</v>
      </c>
    </row>
    <row r="9" spans="2:2" x14ac:dyDescent="0.25">
      <c r="B9" s="2" t="s">
        <v>5</v>
      </c>
    </row>
    <row r="10" spans="2:2" x14ac:dyDescent="0.25">
      <c r="B10" s="2" t="s">
        <v>6</v>
      </c>
    </row>
    <row r="11" spans="2:2" x14ac:dyDescent="0.25">
      <c r="B11" s="2"/>
    </row>
    <row r="12" spans="2:2" x14ac:dyDescent="0.25">
      <c r="B12" s="2" t="s">
        <v>7</v>
      </c>
    </row>
    <row r="13" spans="2:2" x14ac:dyDescent="0.25">
      <c r="B13" s="2" t="s">
        <v>8</v>
      </c>
    </row>
    <row r="14" spans="2:2" x14ac:dyDescent="0.25">
      <c r="B14" s="2" t="s">
        <v>9</v>
      </c>
    </row>
    <row r="15" spans="2:2" x14ac:dyDescent="0.25">
      <c r="B15" s="2" t="s">
        <v>10</v>
      </c>
    </row>
    <row r="16" spans="2:2" x14ac:dyDescent="0.25">
      <c r="B1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66"/>
  <sheetViews>
    <sheetView showGridLines="0" workbookViewId="0"/>
  </sheetViews>
  <sheetFormatPr defaultRowHeight="15" x14ac:dyDescent="0.25"/>
  <cols>
    <col min="1" max="1" width="2" customWidth="1"/>
    <col min="2" max="2" width="46" customWidth="1"/>
    <col min="3" max="3" width="14" customWidth="1"/>
    <col min="4" max="4" width="10" customWidth="1"/>
    <col min="5" max="5" width="46" customWidth="1"/>
  </cols>
  <sheetData>
    <row r="2" spans="2:5" ht="18" x14ac:dyDescent="0.25">
      <c r="B2" s="1" t="s">
        <v>12</v>
      </c>
    </row>
    <row r="3" spans="2:5" x14ac:dyDescent="0.25">
      <c r="B3" s="3" t="s">
        <v>13</v>
      </c>
    </row>
    <row r="5" spans="2:5" x14ac:dyDescent="0.25">
      <c r="B5" s="4" t="s">
        <v>14</v>
      </c>
    </row>
    <row r="6" spans="2:5" x14ac:dyDescent="0.25">
      <c r="B6" s="2" t="s">
        <v>15</v>
      </c>
      <c r="C6" s="5">
        <v>5.2600000000000001E-2</v>
      </c>
      <c r="E6" s="3" t="s">
        <v>16</v>
      </c>
    </row>
    <row r="7" spans="2:5" x14ac:dyDescent="0.25">
      <c r="B7" s="2" t="s">
        <v>17</v>
      </c>
      <c r="C7" s="6">
        <v>1.32</v>
      </c>
      <c r="E7" s="3" t="s">
        <v>18</v>
      </c>
    </row>
    <row r="8" spans="2:5" x14ac:dyDescent="0.25">
      <c r="B8" s="2" t="s">
        <v>19</v>
      </c>
      <c r="C8" s="5">
        <v>4.1399999999999999E-2</v>
      </c>
    </row>
    <row r="9" spans="2:5" x14ac:dyDescent="0.25">
      <c r="B9" s="2" t="s">
        <v>20</v>
      </c>
      <c r="C9" s="5">
        <v>6.2E-2</v>
      </c>
      <c r="E9" s="3" t="s">
        <v>21</v>
      </c>
    </row>
    <row r="10" spans="2:5" x14ac:dyDescent="0.25">
      <c r="B10" s="2" t="s">
        <v>22</v>
      </c>
      <c r="C10" s="5">
        <v>0.21</v>
      </c>
    </row>
    <row r="11" spans="2:5" x14ac:dyDescent="0.25">
      <c r="B11" s="2" t="s">
        <v>23</v>
      </c>
      <c r="C11" s="5">
        <v>7.0999999999999994E-2</v>
      </c>
      <c r="E11" s="3" t="s">
        <v>24</v>
      </c>
    </row>
    <row r="12" spans="2:5" x14ac:dyDescent="0.25">
      <c r="B12" s="2" t="s">
        <v>25</v>
      </c>
      <c r="C12" s="7">
        <v>0.64</v>
      </c>
    </row>
    <row r="13" spans="2:5" x14ac:dyDescent="0.25">
      <c r="B13" s="2" t="s">
        <v>26</v>
      </c>
      <c r="C13" s="7">
        <v>0.33</v>
      </c>
    </row>
    <row r="14" spans="2:5" x14ac:dyDescent="0.25">
      <c r="B14" s="2" t="s">
        <v>27</v>
      </c>
      <c r="C14" s="7">
        <v>0.03</v>
      </c>
    </row>
    <row r="15" spans="2:5" x14ac:dyDescent="0.25">
      <c r="B15" s="8" t="s">
        <v>28</v>
      </c>
      <c r="C15" s="9">
        <f>C6+C7*C8</f>
        <v>0.10724800000000001</v>
      </c>
    </row>
    <row r="16" spans="2:5" x14ac:dyDescent="0.25">
      <c r="B16" s="8" t="s">
        <v>29</v>
      </c>
      <c r="C16" s="9">
        <f>C12*C15+C13*C9*(1-C10)+C14*C11</f>
        <v>8.6932120000000002E-2</v>
      </c>
    </row>
    <row r="18" spans="2:5" x14ac:dyDescent="0.25">
      <c r="B18" s="4" t="s">
        <v>30</v>
      </c>
    </row>
    <row r="19" spans="2:5" x14ac:dyDescent="0.25">
      <c r="B19" s="2" t="s">
        <v>31</v>
      </c>
      <c r="C19" s="10">
        <v>9</v>
      </c>
    </row>
    <row r="20" spans="2:5" x14ac:dyDescent="0.25">
      <c r="B20" s="2" t="s">
        <v>32</v>
      </c>
      <c r="C20" s="5">
        <v>2.5000000000000001E-2</v>
      </c>
    </row>
    <row r="21" spans="2:5" x14ac:dyDescent="0.25">
      <c r="B21" s="2" t="s">
        <v>33</v>
      </c>
      <c r="C21" s="7">
        <v>0.5</v>
      </c>
    </row>
    <row r="22" spans="2:5" x14ac:dyDescent="0.25">
      <c r="B22" s="2" t="s">
        <v>34</v>
      </c>
      <c r="C22" s="6">
        <v>9.25</v>
      </c>
      <c r="E22" s="3" t="s">
        <v>35</v>
      </c>
    </row>
    <row r="24" spans="2:5" x14ac:dyDescent="0.25">
      <c r="B24" s="4" t="s">
        <v>36</v>
      </c>
    </row>
    <row r="25" spans="2:5" x14ac:dyDescent="0.25">
      <c r="B25" s="2" t="s">
        <v>37</v>
      </c>
      <c r="C25" s="11">
        <v>19895</v>
      </c>
      <c r="E25" s="3" t="s">
        <v>38</v>
      </c>
    </row>
    <row r="26" spans="2:5" x14ac:dyDescent="0.25">
      <c r="B26" s="2" t="s">
        <v>39</v>
      </c>
      <c r="C26" s="11">
        <v>2476</v>
      </c>
    </row>
    <row r="27" spans="2:5" x14ac:dyDescent="0.25">
      <c r="B27" s="2" t="s">
        <v>40</v>
      </c>
      <c r="C27" s="11">
        <v>613</v>
      </c>
    </row>
    <row r="28" spans="2:5" x14ac:dyDescent="0.25">
      <c r="B28" s="2" t="s">
        <v>41</v>
      </c>
      <c r="C28" s="11">
        <v>3800</v>
      </c>
      <c r="E28" s="3" t="s">
        <v>42</v>
      </c>
    </row>
    <row r="29" spans="2:5" x14ac:dyDescent="0.25">
      <c r="B29" s="2" t="s">
        <v>43</v>
      </c>
      <c r="C29" s="11">
        <v>-435</v>
      </c>
    </row>
    <row r="30" spans="2:5" x14ac:dyDescent="0.25">
      <c r="B30" s="2" t="s">
        <v>44</v>
      </c>
      <c r="C30" s="11">
        <v>-700</v>
      </c>
    </row>
    <row r="31" spans="2:5" x14ac:dyDescent="0.25">
      <c r="B31" s="8" t="s">
        <v>45</v>
      </c>
      <c r="C31" s="12">
        <f>SUM(C25:C30)</f>
        <v>25649</v>
      </c>
    </row>
    <row r="32" spans="2:5" x14ac:dyDescent="0.25">
      <c r="B32" s="2" t="s">
        <v>46</v>
      </c>
      <c r="C32" s="13">
        <v>340.6</v>
      </c>
      <c r="E32" s="3" t="s">
        <v>47</v>
      </c>
    </row>
    <row r="33" spans="2:8" x14ac:dyDescent="0.25">
      <c r="B33" s="2" t="s">
        <v>48</v>
      </c>
      <c r="C33" s="14">
        <v>138.35</v>
      </c>
    </row>
    <row r="35" spans="2:8" x14ac:dyDescent="0.25">
      <c r="B35" s="4" t="s">
        <v>49</v>
      </c>
    </row>
    <row r="36" spans="2:8" x14ac:dyDescent="0.25">
      <c r="B36" s="2" t="s">
        <v>50</v>
      </c>
      <c r="C36" s="6">
        <v>1.85</v>
      </c>
      <c r="E36" s="3" t="s">
        <v>51</v>
      </c>
    </row>
    <row r="37" spans="2:8" x14ac:dyDescent="0.25">
      <c r="B37" s="2" t="s">
        <v>52</v>
      </c>
      <c r="C37" s="15">
        <v>0.02</v>
      </c>
      <c r="E37" s="3" t="s">
        <v>51</v>
      </c>
    </row>
    <row r="38" spans="2:8" x14ac:dyDescent="0.25">
      <c r="B38" s="2" t="s">
        <v>53</v>
      </c>
      <c r="C38" s="6">
        <v>2</v>
      </c>
      <c r="E38" s="3" t="s">
        <v>54</v>
      </c>
    </row>
    <row r="39" spans="2:8" x14ac:dyDescent="0.25">
      <c r="B39" s="2" t="s">
        <v>55</v>
      </c>
      <c r="C39" s="15">
        <v>0.02</v>
      </c>
      <c r="E39" s="3" t="s">
        <v>51</v>
      </c>
    </row>
    <row r="40" spans="2:8" x14ac:dyDescent="0.25">
      <c r="B40" s="2" t="s">
        <v>56</v>
      </c>
      <c r="C40" s="7">
        <v>0.04</v>
      </c>
      <c r="E40" s="3" t="s">
        <v>57</v>
      </c>
    </row>
    <row r="41" spans="2:8" x14ac:dyDescent="0.25">
      <c r="B41" s="2" t="s">
        <v>58</v>
      </c>
      <c r="C41" s="7">
        <v>0.1</v>
      </c>
    </row>
    <row r="42" spans="2:8" x14ac:dyDescent="0.25">
      <c r="B42" s="2" t="s">
        <v>59</v>
      </c>
      <c r="C42" s="7">
        <v>0.15</v>
      </c>
    </row>
    <row r="43" spans="2:8" x14ac:dyDescent="0.25">
      <c r="B43" s="2" t="s">
        <v>60</v>
      </c>
      <c r="C43" s="7">
        <v>0.21</v>
      </c>
    </row>
    <row r="45" spans="2:8" x14ac:dyDescent="0.25">
      <c r="B45" s="4" t="s">
        <v>61</v>
      </c>
    </row>
    <row r="46" spans="2:8" x14ac:dyDescent="0.25">
      <c r="B46" s="16"/>
      <c r="C46" s="16" t="s">
        <v>62</v>
      </c>
      <c r="D46" s="16" t="s">
        <v>63</v>
      </c>
      <c r="E46" s="16" t="s">
        <v>64</v>
      </c>
      <c r="F46" s="16" t="s">
        <v>65</v>
      </c>
      <c r="G46" s="16" t="s">
        <v>66</v>
      </c>
      <c r="H46" s="16" t="s">
        <v>67</v>
      </c>
    </row>
    <row r="47" spans="2:8" x14ac:dyDescent="0.25">
      <c r="B47" s="17" t="s">
        <v>68</v>
      </c>
      <c r="C47" s="18">
        <v>7.2</v>
      </c>
      <c r="D47" s="18">
        <v>7.67</v>
      </c>
      <c r="E47" s="18">
        <v>7.23</v>
      </c>
      <c r="F47" s="18">
        <v>6.9</v>
      </c>
      <c r="G47" s="19">
        <v>1.6039999999999999E-2</v>
      </c>
      <c r="H47" s="20">
        <v>0.25</v>
      </c>
    </row>
    <row r="48" spans="2:8" x14ac:dyDescent="0.25">
      <c r="B48" s="17" t="s">
        <v>69</v>
      </c>
      <c r="C48" s="18">
        <v>7.2</v>
      </c>
      <c r="D48" s="18">
        <v>8.0399999999999991</v>
      </c>
      <c r="E48" s="18">
        <v>8.19</v>
      </c>
      <c r="F48" s="18">
        <v>8.6</v>
      </c>
      <c r="G48" s="19">
        <v>1.9859999999999999E-2</v>
      </c>
      <c r="H48" s="20">
        <v>0.5</v>
      </c>
    </row>
    <row r="49" spans="2:8" x14ac:dyDescent="0.25">
      <c r="B49" s="17" t="s">
        <v>70</v>
      </c>
      <c r="C49" s="18">
        <v>7.2</v>
      </c>
      <c r="D49" s="18">
        <v>8.2899999999999991</v>
      </c>
      <c r="E49" s="18">
        <v>8.8699999999999992</v>
      </c>
      <c r="F49" s="18">
        <v>9.5</v>
      </c>
      <c r="G49" s="19">
        <v>2.2710000000000001E-2</v>
      </c>
      <c r="H49" s="20">
        <v>0.25</v>
      </c>
    </row>
    <row r="50" spans="2:8" x14ac:dyDescent="0.25">
      <c r="B50" s="3" t="s">
        <v>71</v>
      </c>
    </row>
    <row r="51" spans="2:8" x14ac:dyDescent="0.25">
      <c r="B51" s="3" t="s">
        <v>72</v>
      </c>
    </row>
    <row r="52" spans="2:8" x14ac:dyDescent="0.25">
      <c r="B52" s="2" t="s">
        <v>73</v>
      </c>
      <c r="C52" s="6">
        <v>7.23</v>
      </c>
    </row>
    <row r="53" spans="2:8" x14ac:dyDescent="0.25">
      <c r="B53" s="2" t="s">
        <v>74</v>
      </c>
      <c r="C53" s="6">
        <v>8.0500000000000007</v>
      </c>
    </row>
    <row r="54" spans="2:8" x14ac:dyDescent="0.25">
      <c r="B54" s="2" t="s">
        <v>75</v>
      </c>
      <c r="C54" s="6">
        <v>8.7899999999999991</v>
      </c>
    </row>
    <row r="56" spans="2:8" x14ac:dyDescent="0.25">
      <c r="B56" s="4" t="s">
        <v>76</v>
      </c>
    </row>
    <row r="57" spans="2:8" x14ac:dyDescent="0.25">
      <c r="B57" s="2" t="s">
        <v>77</v>
      </c>
      <c r="C57" s="10">
        <f>Comps!D16</f>
        <v>9.4</v>
      </c>
      <c r="E57" s="3" t="s">
        <v>78</v>
      </c>
    </row>
    <row r="58" spans="2:8" x14ac:dyDescent="0.25">
      <c r="B58" s="2" t="s">
        <v>79</v>
      </c>
      <c r="C58" s="15">
        <v>7.0000000000000007E-2</v>
      </c>
    </row>
    <row r="59" spans="2:8" x14ac:dyDescent="0.25">
      <c r="B59" s="2" t="s">
        <v>80</v>
      </c>
      <c r="C59" s="6">
        <f>Statements!D32</f>
        <v>3.3139999999999996</v>
      </c>
      <c r="E59" s="3" t="s">
        <v>81</v>
      </c>
    </row>
    <row r="60" spans="2:8" x14ac:dyDescent="0.25">
      <c r="B60" s="2" t="s">
        <v>82</v>
      </c>
      <c r="C60" s="10">
        <v>14.5</v>
      </c>
    </row>
    <row r="61" spans="2:8" x14ac:dyDescent="0.25">
      <c r="B61" s="2" t="s">
        <v>83</v>
      </c>
      <c r="C61" s="14">
        <f>Statements!D24</f>
        <v>10.015982142857139</v>
      </c>
      <c r="E61" s="3" t="s">
        <v>81</v>
      </c>
    </row>
    <row r="63" spans="2:8" x14ac:dyDescent="0.25">
      <c r="B63" s="3" t="s">
        <v>84</v>
      </c>
    </row>
    <row r="64" spans="2:8" x14ac:dyDescent="0.25">
      <c r="B64" s="2" t="s">
        <v>85</v>
      </c>
      <c r="C64" s="7">
        <v>0.5</v>
      </c>
    </row>
    <row r="65" spans="2:3" x14ac:dyDescent="0.25">
      <c r="B65" s="2" t="s">
        <v>86</v>
      </c>
      <c r="C65" s="7">
        <v>0.25</v>
      </c>
    </row>
    <row r="66" spans="2:3" x14ac:dyDescent="0.25">
      <c r="B66" s="2" t="s">
        <v>87</v>
      </c>
      <c r="C66" s="7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6"/>
  <sheetViews>
    <sheetView showGridLines="0" workbookViewId="0"/>
  </sheetViews>
  <sheetFormatPr defaultRowHeight="15" x14ac:dyDescent="0.25"/>
  <cols>
    <col min="1" max="1" width="2" customWidth="1"/>
    <col min="2" max="2" width="22" customWidth="1"/>
    <col min="3" max="12" width="9" customWidth="1"/>
  </cols>
  <sheetData>
    <row r="2" spans="2:12" ht="18" x14ac:dyDescent="0.25">
      <c r="B2" s="1" t="s">
        <v>88</v>
      </c>
    </row>
    <row r="4" spans="2:12" x14ac:dyDescent="0.25">
      <c r="B4" s="2"/>
      <c r="C4" s="16">
        <v>2026</v>
      </c>
      <c r="D4" s="16">
        <v>2027</v>
      </c>
      <c r="E4" s="16">
        <v>2028</v>
      </c>
      <c r="F4" s="16">
        <v>2029</v>
      </c>
      <c r="G4" s="16">
        <v>2030</v>
      </c>
      <c r="H4" s="16">
        <v>2031</v>
      </c>
      <c r="I4" s="16">
        <v>2032</v>
      </c>
      <c r="J4" s="16">
        <v>2033</v>
      </c>
      <c r="K4" s="16">
        <v>2034</v>
      </c>
      <c r="L4" s="16">
        <v>2035</v>
      </c>
    </row>
    <row r="5" spans="2:12" x14ac:dyDescent="0.25">
      <c r="B5" s="17" t="s">
        <v>68</v>
      </c>
      <c r="C5" s="21">
        <f>Assumptions!C47</f>
        <v>7.2</v>
      </c>
      <c r="D5" s="21">
        <f>Assumptions!D47</f>
        <v>7.67</v>
      </c>
      <c r="E5" s="21">
        <f>Assumptions!E47</f>
        <v>7.23</v>
      </c>
      <c r="F5" s="21">
        <f>SQRT(E5*G5)</f>
        <v>7.0630729856061949</v>
      </c>
      <c r="G5" s="21">
        <f>Assumptions!F47</f>
        <v>6.9</v>
      </c>
      <c r="H5" s="21">
        <f>G5*(1+Assumptions!G47)</f>
        <v>7.010676000000001</v>
      </c>
      <c r="I5" s="21">
        <f>H5*(1+Assumptions!G47)</f>
        <v>7.1231272430400017</v>
      </c>
      <c r="J5" s="21">
        <f>I5*(1+Assumptions!G47)</f>
        <v>7.2373822040183633</v>
      </c>
      <c r="K5" s="21">
        <f>J5*(1+Assumptions!G47)</f>
        <v>7.3534698145708184</v>
      </c>
      <c r="L5" s="21">
        <f>K5*(1+Assumptions!G47)</f>
        <v>7.4714194703965351</v>
      </c>
    </row>
    <row r="6" spans="2:12" x14ac:dyDescent="0.25">
      <c r="B6" s="17" t="s">
        <v>69</v>
      </c>
      <c r="C6" s="21">
        <f>Assumptions!C48</f>
        <v>7.2</v>
      </c>
      <c r="D6" s="21">
        <f>Assumptions!D48</f>
        <v>8.0399999999999991</v>
      </c>
      <c r="E6" s="21">
        <f>Assumptions!E48</f>
        <v>8.19</v>
      </c>
      <c r="F6" s="21">
        <f>SQRT(E6*G6)</f>
        <v>8.3924966487928963</v>
      </c>
      <c r="G6" s="21">
        <f>Assumptions!F48</f>
        <v>8.6</v>
      </c>
      <c r="H6" s="21">
        <f>G6*(1+Assumptions!G48)</f>
        <v>8.7707959999999989</v>
      </c>
      <c r="I6" s="21">
        <f>H6*(1+Assumptions!G48)</f>
        <v>8.9449840085599988</v>
      </c>
      <c r="J6" s="21">
        <f>I6*(1+Assumptions!G48)</f>
        <v>9.1226313909699996</v>
      </c>
      <c r="K6" s="21">
        <f>J6*(1+Assumptions!G48)</f>
        <v>9.3038068503946629</v>
      </c>
      <c r="L6" s="21">
        <f>K6*(1+Assumptions!G48)</f>
        <v>9.4885804544435004</v>
      </c>
    </row>
    <row r="7" spans="2:12" x14ac:dyDescent="0.25">
      <c r="B7" s="17" t="s">
        <v>70</v>
      </c>
      <c r="C7" s="21">
        <f>Assumptions!C49</f>
        <v>7.2</v>
      </c>
      <c r="D7" s="21">
        <f>Assumptions!D49</f>
        <v>8.2899999999999991</v>
      </c>
      <c r="E7" s="21">
        <f>Assumptions!E49</f>
        <v>8.8699999999999992</v>
      </c>
      <c r="F7" s="21">
        <f>SQRT(E7*G7)</f>
        <v>9.1795969410426714</v>
      </c>
      <c r="G7" s="21">
        <f>Assumptions!F49</f>
        <v>9.5</v>
      </c>
      <c r="H7" s="21">
        <f>G7*(1+Assumptions!G49)</f>
        <v>9.7157450000000001</v>
      </c>
      <c r="I7" s="21">
        <f>H7*(1+Assumptions!G49)</f>
        <v>9.9363895689500001</v>
      </c>
      <c r="J7" s="21">
        <f>I7*(1+Assumptions!G49)</f>
        <v>10.162044976060855</v>
      </c>
      <c r="K7" s="21">
        <f>J7*(1+Assumptions!G49)</f>
        <v>10.392825017467198</v>
      </c>
      <c r="L7" s="21">
        <f>K7*(1+Assumptions!G49)</f>
        <v>10.628846073613877</v>
      </c>
    </row>
    <row r="9" spans="2:12" x14ac:dyDescent="0.25">
      <c r="B9" s="17" t="s">
        <v>89</v>
      </c>
      <c r="C9" s="21">
        <f>Assumptions!C52</f>
        <v>7.23</v>
      </c>
      <c r="D9" s="21">
        <f>Assumptions!C53</f>
        <v>8.0500000000000007</v>
      </c>
      <c r="E9" s="21">
        <f>Assumptions!C54</f>
        <v>8.7899999999999991</v>
      </c>
      <c r="F9" s="21">
        <f t="shared" ref="F9:L9" si="0">F6*($E$9/$E$6)</f>
        <v>9.0073315681183832</v>
      </c>
      <c r="G9" s="21">
        <f t="shared" si="0"/>
        <v>9.2300366300366292</v>
      </c>
      <c r="H9" s="21">
        <f t="shared" si="0"/>
        <v>9.4133451575091556</v>
      </c>
      <c r="I9" s="21">
        <f t="shared" si="0"/>
        <v>9.6002941923372873</v>
      </c>
      <c r="J9" s="21">
        <f t="shared" si="0"/>
        <v>9.7909560349971052</v>
      </c>
      <c r="K9" s="21">
        <f t="shared" si="0"/>
        <v>9.9854044218521469</v>
      </c>
      <c r="L9" s="21">
        <f t="shared" si="0"/>
        <v>10.18371455367013</v>
      </c>
    </row>
    <row r="11" spans="2:12" x14ac:dyDescent="0.25">
      <c r="B11" s="4" t="s">
        <v>90</v>
      </c>
    </row>
    <row r="12" spans="2:12" x14ac:dyDescent="0.25">
      <c r="B12" s="17" t="s">
        <v>91</v>
      </c>
      <c r="C12" s="21">
        <f>Assumptions!C36</f>
        <v>1.85</v>
      </c>
      <c r="D12" s="21">
        <f>C12*(1+Assumptions!$C$37)</f>
        <v>1.8870000000000002</v>
      </c>
      <c r="E12" s="21">
        <f>D12*(1+Assumptions!$C$37)</f>
        <v>1.9247400000000003</v>
      </c>
      <c r="F12" s="21">
        <f>E12*(1+Assumptions!$C$37)</f>
        <v>1.9632348000000004</v>
      </c>
      <c r="G12" s="21">
        <f>F12*(1+Assumptions!$C$37)</f>
        <v>2.0024994960000004</v>
      </c>
      <c r="H12" s="21">
        <f>G12*(1+Assumptions!$C$37)</f>
        <v>2.0425494859200004</v>
      </c>
      <c r="I12" s="21">
        <f>H12*(1+Assumptions!$C$37)</f>
        <v>2.0834004756384004</v>
      </c>
      <c r="J12" s="21">
        <f>I12*(1+Assumptions!$C$37)</f>
        <v>2.1250684851511683</v>
      </c>
      <c r="K12" s="21">
        <f>J12*(1+Assumptions!$C$37)</f>
        <v>2.1675698548541917</v>
      </c>
      <c r="L12" s="21">
        <f>K12*(1+Assumptions!$C$37)</f>
        <v>2.2109212519512758</v>
      </c>
    </row>
    <row r="13" spans="2:12" x14ac:dyDescent="0.25">
      <c r="B13" s="17" t="s">
        <v>92</v>
      </c>
      <c r="C13" s="21">
        <f>Assumptions!C38</f>
        <v>2</v>
      </c>
      <c r="D13" s="21">
        <f>C13*(1+Assumptions!$C$39)</f>
        <v>2.04</v>
      </c>
      <c r="E13" s="21">
        <f>D13*(1+Assumptions!$C$39)</f>
        <v>2.0808</v>
      </c>
      <c r="F13" s="21">
        <f>E13*(1+Assumptions!$C$39)</f>
        <v>2.1224159999999999</v>
      </c>
      <c r="G13" s="21">
        <f>F13*(1+Assumptions!$C$39)</f>
        <v>2.16486432</v>
      </c>
      <c r="H13" s="21">
        <f>G13*(1+Assumptions!$C$39)</f>
        <v>2.2081616064</v>
      </c>
      <c r="I13" s="21">
        <f>H13*(1+Assumptions!$C$39)</f>
        <v>2.2523248385280001</v>
      </c>
      <c r="J13" s="21">
        <f>I13*(1+Assumptions!$C$39)</f>
        <v>2.2973713352985601</v>
      </c>
      <c r="K13" s="21">
        <f>J13*(1+Assumptions!$C$39)</f>
        <v>2.3433187620045315</v>
      </c>
      <c r="L13" s="21">
        <f>K13*(1+Assumptions!$C$39)</f>
        <v>2.3901851372446221</v>
      </c>
    </row>
    <row r="14" spans="2:12" x14ac:dyDescent="0.25">
      <c r="B14" s="17" t="s">
        <v>93</v>
      </c>
      <c r="C14" s="22">
        <f>Assumptions!C40</f>
        <v>0.04</v>
      </c>
      <c r="D14" s="22">
        <f>Assumptions!C41</f>
        <v>0.1</v>
      </c>
      <c r="E14" s="22">
        <f>Assumptions!C42</f>
        <v>0.15</v>
      </c>
      <c r="F14" s="22">
        <f>Assumptions!C43</f>
        <v>0.21</v>
      </c>
      <c r="G14" s="22">
        <f>Assumptions!C43</f>
        <v>0.21</v>
      </c>
      <c r="H14" s="22">
        <f>Assumptions!C43</f>
        <v>0.21</v>
      </c>
      <c r="I14" s="22">
        <f>Assumptions!C43</f>
        <v>0.21</v>
      </c>
      <c r="J14" s="22">
        <f>Assumptions!C43</f>
        <v>0.21</v>
      </c>
      <c r="K14" s="22">
        <f>Assumptions!C43</f>
        <v>0.21</v>
      </c>
      <c r="L14" s="22">
        <f>Assumptions!C43</f>
        <v>0.21</v>
      </c>
    </row>
    <row r="16" spans="2:12" x14ac:dyDescent="0.25">
      <c r="B16" s="3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75"/>
  <sheetViews>
    <sheetView showGridLines="0" workbookViewId="0"/>
  </sheetViews>
  <sheetFormatPr defaultRowHeight="15" x14ac:dyDescent="0.25"/>
  <cols>
    <col min="1" max="1" width="2" customWidth="1"/>
    <col min="2" max="2" width="30" customWidth="1"/>
    <col min="3" max="13" width="9.42578125" customWidth="1"/>
  </cols>
  <sheetData>
    <row r="2" spans="2:12" ht="18" x14ac:dyDescent="0.25">
      <c r="B2" s="1" t="s">
        <v>95</v>
      </c>
    </row>
    <row r="3" spans="2:12" x14ac:dyDescent="0.25">
      <c r="B3" s="3" t="s">
        <v>96</v>
      </c>
    </row>
    <row r="5" spans="2:12" x14ac:dyDescent="0.25">
      <c r="B5" s="4" t="s">
        <v>97</v>
      </c>
    </row>
    <row r="6" spans="2:12" x14ac:dyDescent="0.25">
      <c r="B6" s="16"/>
      <c r="C6" s="16" t="s">
        <v>98</v>
      </c>
      <c r="D6" s="16" t="s">
        <v>63</v>
      </c>
      <c r="E6" s="16" t="s">
        <v>64</v>
      </c>
      <c r="F6" s="16" t="s">
        <v>99</v>
      </c>
      <c r="G6" s="16" t="s">
        <v>65</v>
      </c>
      <c r="H6" s="16" t="s">
        <v>100</v>
      </c>
      <c r="I6" s="16" t="s">
        <v>101</v>
      </c>
      <c r="J6" s="16" t="s">
        <v>102</v>
      </c>
      <c r="K6" s="16" t="s">
        <v>103</v>
      </c>
      <c r="L6" s="16" t="s">
        <v>104</v>
      </c>
    </row>
    <row r="7" spans="2:12" x14ac:dyDescent="0.25">
      <c r="B7" s="23" t="s">
        <v>105</v>
      </c>
      <c r="C7" s="21">
        <f>0.25*Scenarios!C5</f>
        <v>1.8</v>
      </c>
      <c r="D7" s="21">
        <f>Scenarios!D5</f>
        <v>7.67</v>
      </c>
      <c r="E7" s="21">
        <f>Scenarios!E5</f>
        <v>7.23</v>
      </c>
      <c r="F7" s="21">
        <f>Scenarios!F5</f>
        <v>7.0630729856061949</v>
      </c>
      <c r="G7" s="21">
        <f>Scenarios!G5</f>
        <v>6.9</v>
      </c>
      <c r="H7" s="21">
        <f>Scenarios!H5</f>
        <v>7.010676000000001</v>
      </c>
      <c r="I7" s="21">
        <f>Scenarios!I5</f>
        <v>7.1231272430400017</v>
      </c>
      <c r="J7" s="21">
        <f>Scenarios!J5</f>
        <v>7.2373822040183633</v>
      </c>
      <c r="K7" s="21">
        <f>Scenarios!K5</f>
        <v>7.3534698145708184</v>
      </c>
      <c r="L7" s="21">
        <f>Scenarios!L5</f>
        <v>7.4714194703965351</v>
      </c>
    </row>
    <row r="8" spans="2:12" x14ac:dyDescent="0.25">
      <c r="B8" s="23" t="s">
        <v>106</v>
      </c>
      <c r="C8" s="21">
        <f>-0.25*Scenarios!C14*(Scenarios!C5-Scenarios!C12)</f>
        <v>-5.3499999999999999E-2</v>
      </c>
      <c r="D8" s="21">
        <f>-Scenarios!D14*(Scenarios!D5-Scenarios!D12)</f>
        <v>-0.57829999999999993</v>
      </c>
      <c r="E8" s="21">
        <f>-Scenarios!E14*(Scenarios!E5-Scenarios!E12)</f>
        <v>-0.79578900000000008</v>
      </c>
      <c r="F8" s="21">
        <f>-Scenarios!F14*(Scenarios!F5-Scenarios!F12)</f>
        <v>-1.0709660189773007</v>
      </c>
      <c r="G8" s="21">
        <f>-Scenarios!G14*(Scenarios!G5-Scenarios!G12)</f>
        <v>-1.0284751058399999</v>
      </c>
      <c r="H8" s="21">
        <f>-Scenarios!H14*(Scenarios!H5-Scenarios!H12)</f>
        <v>-1.0433065679568001</v>
      </c>
      <c r="I8" s="21">
        <f>-Scenarios!I14*(Scenarios!I5-Scenarios!I12)</f>
        <v>-1.0583426211543363</v>
      </c>
      <c r="J8" s="21">
        <f>-Scenarios!J14*(Scenarios!J5-Scenarios!J12)</f>
        <v>-1.073585880962111</v>
      </c>
      <c r="K8" s="21">
        <f>-Scenarios!K14*(Scenarios!K5-Scenarios!K12)</f>
        <v>-1.0890389915404917</v>
      </c>
      <c r="L8" s="21">
        <f>-Scenarios!L14*(Scenarios!L5-Scenarios!L12)</f>
        <v>-1.1047046258735045</v>
      </c>
    </row>
    <row r="9" spans="2:12" x14ac:dyDescent="0.25">
      <c r="B9" s="23" t="s">
        <v>107</v>
      </c>
      <c r="C9" s="21">
        <f>-0.25*Scenarios!C13</f>
        <v>-0.5</v>
      </c>
      <c r="D9" s="21">
        <f>-Scenarios!D13</f>
        <v>-2.04</v>
      </c>
      <c r="E9" s="21">
        <f>-Scenarios!E13</f>
        <v>-2.0808</v>
      </c>
      <c r="F9" s="21">
        <f>-Scenarios!F13</f>
        <v>-2.1224159999999999</v>
      </c>
      <c r="G9" s="21">
        <f>-Scenarios!G13</f>
        <v>-2.16486432</v>
      </c>
      <c r="H9" s="21">
        <f>-Scenarios!H13</f>
        <v>-2.2081616064</v>
      </c>
      <c r="I9" s="21">
        <f>-Scenarios!I13</f>
        <v>-2.2523248385280001</v>
      </c>
      <c r="J9" s="21">
        <f>-Scenarios!J13</f>
        <v>-2.2973713352985601</v>
      </c>
      <c r="K9" s="21">
        <f>-Scenarios!K13</f>
        <v>-2.3433187620045315</v>
      </c>
      <c r="L9" s="21">
        <f>-Scenarios!L13</f>
        <v>-2.3901851372446221</v>
      </c>
    </row>
    <row r="10" spans="2:12" x14ac:dyDescent="0.25">
      <c r="B10" s="17" t="s">
        <v>108</v>
      </c>
      <c r="C10" s="24">
        <f t="shared" ref="C10:L10" si="0">SUM(C7:C9)</f>
        <v>1.2464999999999999</v>
      </c>
      <c r="D10" s="24">
        <f t="shared" si="0"/>
        <v>5.0517000000000003</v>
      </c>
      <c r="E10" s="24">
        <f t="shared" si="0"/>
        <v>4.3534110000000004</v>
      </c>
      <c r="F10" s="24">
        <f t="shared" si="0"/>
        <v>3.8696909666288941</v>
      </c>
      <c r="G10" s="24">
        <f t="shared" si="0"/>
        <v>3.7066605741600003</v>
      </c>
      <c r="H10" s="24">
        <f t="shared" si="0"/>
        <v>3.7592078256432009</v>
      </c>
      <c r="I10" s="24">
        <f t="shared" si="0"/>
        <v>3.812459783357665</v>
      </c>
      <c r="J10" s="24">
        <f t="shared" si="0"/>
        <v>3.8664249877576924</v>
      </c>
      <c r="K10" s="24">
        <f t="shared" si="0"/>
        <v>3.921112061025795</v>
      </c>
      <c r="L10" s="24">
        <f t="shared" si="0"/>
        <v>3.9765297072784089</v>
      </c>
    </row>
    <row r="11" spans="2:12" x14ac:dyDescent="0.25">
      <c r="B11" s="23" t="s">
        <v>109</v>
      </c>
      <c r="C11" s="25">
        <v>0.125</v>
      </c>
      <c r="D11" s="25">
        <v>0.75</v>
      </c>
      <c r="E11" s="25">
        <v>1.75</v>
      </c>
      <c r="F11" s="25">
        <v>2.75</v>
      </c>
      <c r="G11" s="25">
        <v>3.75</v>
      </c>
      <c r="H11" s="25">
        <v>4.75</v>
      </c>
      <c r="I11" s="25">
        <v>5.75</v>
      </c>
      <c r="J11" s="25">
        <v>6.75</v>
      </c>
      <c r="K11" s="25">
        <v>7.75</v>
      </c>
      <c r="L11" s="25">
        <v>8.75</v>
      </c>
    </row>
    <row r="12" spans="2:12" x14ac:dyDescent="0.25">
      <c r="B12" s="23" t="s">
        <v>110</v>
      </c>
      <c r="C12" s="21">
        <f>C10/(1+Assumptions!$C$16)^C11</f>
        <v>1.2335790354775695</v>
      </c>
      <c r="D12" s="21">
        <f>D10/(1+Assumptions!$C$16)^D11</f>
        <v>4.7455410506437996</v>
      </c>
      <c r="E12" s="21">
        <f>E10/(1+Assumptions!$C$16)^E11</f>
        <v>3.7624906587729305</v>
      </c>
      <c r="F12" s="21">
        <f>F10/(1+Assumptions!$C$16)^F11</f>
        <v>3.0769442035407057</v>
      </c>
      <c r="G12" s="21">
        <f>G10/(1+Assumptions!$C$16)^G11</f>
        <v>2.7115881865064124</v>
      </c>
      <c r="H12" s="21">
        <f>H10/(1+Assumptions!$C$16)^H11</f>
        <v>2.5300833449676663</v>
      </c>
      <c r="I12" s="21">
        <f>I10/(1+Assumptions!$C$16)^I11</f>
        <v>2.3607029349962039</v>
      </c>
      <c r="J12" s="21">
        <f>J10/(1+Assumptions!$C$16)^J11</f>
        <v>2.2026385452609842</v>
      </c>
      <c r="K12" s="21">
        <f>K10/(1+Assumptions!$C$16)^K11</f>
        <v>2.0551355763865842</v>
      </c>
      <c r="L12" s="21">
        <f>L10/(1+Assumptions!$C$16)^L11</f>
        <v>1.9174896643695285</v>
      </c>
    </row>
    <row r="13" spans="2:12" x14ac:dyDescent="0.25">
      <c r="B13" s="8" t="s">
        <v>111</v>
      </c>
      <c r="C13" s="26">
        <f>SUM(C12:L12)</f>
        <v>26.596193200922386</v>
      </c>
    </row>
    <row r="14" spans="2:12" x14ac:dyDescent="0.25">
      <c r="B14" s="2" t="s">
        <v>112</v>
      </c>
      <c r="C14" s="27">
        <f>Assumptions!C19*L7</f>
        <v>67.242775233568821</v>
      </c>
    </row>
    <row r="15" spans="2:12" x14ac:dyDescent="0.25">
      <c r="B15" s="2" t="s">
        <v>113</v>
      </c>
      <c r="C15" s="27">
        <f>L10*(1+Assumptions!C20)/(Assumptions!C16-Assumptions!C20)</f>
        <v>65.813070018600499</v>
      </c>
    </row>
    <row r="16" spans="2:12" x14ac:dyDescent="0.25">
      <c r="B16" s="8" t="s">
        <v>114</v>
      </c>
      <c r="C16" s="28">
        <f>Assumptions!C21*C14+(1-Assumptions!C21)*C15</f>
        <v>66.52792262608466</v>
      </c>
    </row>
    <row r="17" spans="2:12" x14ac:dyDescent="0.25">
      <c r="B17" s="8" t="s">
        <v>115</v>
      </c>
      <c r="C17" s="26">
        <f>C16/(1+Assumptions!$C$16)^Assumptions!$C$22</f>
        <v>30.770287324151731</v>
      </c>
    </row>
    <row r="18" spans="2:12" x14ac:dyDescent="0.25">
      <c r="B18" s="8" t="s">
        <v>116</v>
      </c>
      <c r="C18" s="26">
        <f>C13+C17</f>
        <v>57.366480525074117</v>
      </c>
      <c r="D18" s="3" t="s">
        <v>117</v>
      </c>
      <c r="E18" s="29">
        <f>C17/C18</f>
        <v>0.53638095003409614</v>
      </c>
    </row>
    <row r="19" spans="2:12" x14ac:dyDescent="0.25">
      <c r="B19" s="2" t="s">
        <v>118</v>
      </c>
      <c r="C19" s="27">
        <f>-Assumptions!C31/1000</f>
        <v>-25.649000000000001</v>
      </c>
    </row>
    <row r="20" spans="2:12" x14ac:dyDescent="0.25">
      <c r="B20" s="8" t="s">
        <v>119</v>
      </c>
      <c r="C20" s="28">
        <f>C18+C19</f>
        <v>31.717480525074116</v>
      </c>
    </row>
    <row r="21" spans="2:12" x14ac:dyDescent="0.25">
      <c r="B21" s="8" t="s">
        <v>120</v>
      </c>
      <c r="C21" s="30">
        <f>C20*1000/Assumptions!C32</f>
        <v>93.12237382581948</v>
      </c>
    </row>
    <row r="22" spans="2:12" x14ac:dyDescent="0.25">
      <c r="B22" s="4" t="s">
        <v>121</v>
      </c>
    </row>
    <row r="23" spans="2:12" x14ac:dyDescent="0.25">
      <c r="B23" s="16"/>
      <c r="C23" s="16" t="s">
        <v>98</v>
      </c>
      <c r="D23" s="16" t="s">
        <v>63</v>
      </c>
      <c r="E23" s="16" t="s">
        <v>64</v>
      </c>
      <c r="F23" s="16" t="s">
        <v>99</v>
      </c>
      <c r="G23" s="16" t="s">
        <v>65</v>
      </c>
      <c r="H23" s="16" t="s">
        <v>100</v>
      </c>
      <c r="I23" s="16" t="s">
        <v>101</v>
      </c>
      <c r="J23" s="16" t="s">
        <v>102</v>
      </c>
      <c r="K23" s="16" t="s">
        <v>103</v>
      </c>
      <c r="L23" s="16" t="s">
        <v>104</v>
      </c>
    </row>
    <row r="24" spans="2:12" x14ac:dyDescent="0.25">
      <c r="B24" s="23" t="s">
        <v>105</v>
      </c>
      <c r="C24" s="21">
        <f>0.25*Scenarios!C6</f>
        <v>1.8</v>
      </c>
      <c r="D24" s="21">
        <f>Scenarios!D6</f>
        <v>8.0399999999999991</v>
      </c>
      <c r="E24" s="21">
        <f>Scenarios!E6</f>
        <v>8.19</v>
      </c>
      <c r="F24" s="21">
        <f>Scenarios!F6</f>
        <v>8.3924966487928963</v>
      </c>
      <c r="G24" s="21">
        <f>Scenarios!G6</f>
        <v>8.6</v>
      </c>
      <c r="H24" s="21">
        <f>Scenarios!H6</f>
        <v>8.7707959999999989</v>
      </c>
      <c r="I24" s="21">
        <f>Scenarios!I6</f>
        <v>8.9449840085599988</v>
      </c>
      <c r="J24" s="21">
        <f>Scenarios!J6</f>
        <v>9.1226313909699996</v>
      </c>
      <c r="K24" s="21">
        <f>Scenarios!K6</f>
        <v>9.3038068503946629</v>
      </c>
      <c r="L24" s="21">
        <f>Scenarios!L6</f>
        <v>9.4885804544435004</v>
      </c>
    </row>
    <row r="25" spans="2:12" x14ac:dyDescent="0.25">
      <c r="B25" s="23" t="s">
        <v>106</v>
      </c>
      <c r="C25" s="21">
        <f>-0.25*Scenarios!C14*(Scenarios!C6-Scenarios!C12)</f>
        <v>-5.3499999999999999E-2</v>
      </c>
      <c r="D25" s="21">
        <f>-Scenarios!D14*(Scenarios!D6-Scenarios!D12)</f>
        <v>-0.61529999999999996</v>
      </c>
      <c r="E25" s="21">
        <f>-Scenarios!E14*(Scenarios!E6-Scenarios!E12)</f>
        <v>-0.93978899999999987</v>
      </c>
      <c r="F25" s="21">
        <f>-Scenarios!F14*(Scenarios!F6-Scenarios!F12)</f>
        <v>-1.350144988246508</v>
      </c>
      <c r="G25" s="21">
        <f>-Scenarios!G14*(Scenarios!G6-Scenarios!G12)</f>
        <v>-1.3854751058399999</v>
      </c>
      <c r="H25" s="21">
        <f>-Scenarios!H14*(Scenarios!H6-Scenarios!H12)</f>
        <v>-1.4129317679567996</v>
      </c>
      <c r="I25" s="21">
        <f>-Scenarios!I14*(Scenarios!I6-Scenarios!I12)</f>
        <v>-1.4409325419135355</v>
      </c>
      <c r="J25" s="21">
        <f>-Scenarios!J14*(Scenarios!J6-Scenarios!J12)</f>
        <v>-1.4694882102219546</v>
      </c>
      <c r="K25" s="21">
        <f>-Scenarios!K14*(Scenarios!K6-Scenarios!K12)</f>
        <v>-1.498609769063499</v>
      </c>
      <c r="L25" s="21">
        <f>-Scenarios!L14*(Scenarios!L6-Scenarios!L12)</f>
        <v>-1.5283084325233671</v>
      </c>
    </row>
    <row r="26" spans="2:12" x14ac:dyDescent="0.25">
      <c r="B26" s="23" t="s">
        <v>107</v>
      </c>
      <c r="C26" s="21">
        <f>-0.25*Scenarios!C13</f>
        <v>-0.5</v>
      </c>
      <c r="D26" s="21">
        <f>-Scenarios!D13</f>
        <v>-2.04</v>
      </c>
      <c r="E26" s="21">
        <f>-Scenarios!E13</f>
        <v>-2.0808</v>
      </c>
      <c r="F26" s="21">
        <f>-Scenarios!F13</f>
        <v>-2.1224159999999999</v>
      </c>
      <c r="G26" s="21">
        <f>-Scenarios!G13</f>
        <v>-2.16486432</v>
      </c>
      <c r="H26" s="21">
        <f>-Scenarios!H13</f>
        <v>-2.2081616064</v>
      </c>
      <c r="I26" s="21">
        <f>-Scenarios!I13</f>
        <v>-2.2523248385280001</v>
      </c>
      <c r="J26" s="21">
        <f>-Scenarios!J13</f>
        <v>-2.2973713352985601</v>
      </c>
      <c r="K26" s="21">
        <f>-Scenarios!K13</f>
        <v>-2.3433187620045315</v>
      </c>
      <c r="L26" s="21">
        <f>-Scenarios!L13</f>
        <v>-2.3901851372446221</v>
      </c>
    </row>
    <row r="27" spans="2:12" x14ac:dyDescent="0.25">
      <c r="B27" s="17" t="s">
        <v>108</v>
      </c>
      <c r="C27" s="24">
        <f t="shared" ref="C27:L27" si="1">SUM(C24:C26)</f>
        <v>1.2464999999999999</v>
      </c>
      <c r="D27" s="24">
        <f t="shared" si="1"/>
        <v>5.3846999999999996</v>
      </c>
      <c r="E27" s="24">
        <f t="shared" si="1"/>
        <v>5.1694109999999993</v>
      </c>
      <c r="F27" s="24">
        <f t="shared" si="1"/>
        <v>4.919935660546388</v>
      </c>
      <c r="G27" s="24">
        <f t="shared" si="1"/>
        <v>5.0496605741600007</v>
      </c>
      <c r="H27" s="24">
        <f t="shared" si="1"/>
        <v>5.149702625643199</v>
      </c>
      <c r="I27" s="24">
        <f t="shared" si="1"/>
        <v>5.2517266281184636</v>
      </c>
      <c r="J27" s="24">
        <f t="shared" si="1"/>
        <v>5.3557718454494854</v>
      </c>
      <c r="K27" s="24">
        <f t="shared" si="1"/>
        <v>5.4618783193266323</v>
      </c>
      <c r="L27" s="24">
        <f t="shared" si="1"/>
        <v>5.5700868846755114</v>
      </c>
    </row>
    <row r="28" spans="2:12" x14ac:dyDescent="0.25">
      <c r="B28" s="23" t="s">
        <v>109</v>
      </c>
      <c r="C28" s="25">
        <v>0.125</v>
      </c>
      <c r="D28" s="25">
        <v>0.75</v>
      </c>
      <c r="E28" s="25">
        <v>1.75</v>
      </c>
      <c r="F28" s="25">
        <v>2.75</v>
      </c>
      <c r="G28" s="25">
        <v>3.75</v>
      </c>
      <c r="H28" s="25">
        <v>4.75</v>
      </c>
      <c r="I28" s="25">
        <v>5.75</v>
      </c>
      <c r="J28" s="25">
        <v>6.75</v>
      </c>
      <c r="K28" s="25">
        <v>7.75</v>
      </c>
      <c r="L28" s="25">
        <v>8.75</v>
      </c>
    </row>
    <row r="29" spans="2:12" x14ac:dyDescent="0.25">
      <c r="B29" s="23" t="s">
        <v>110</v>
      </c>
      <c r="C29" s="21">
        <f>C27/(1+Assumptions!$C$16)^C28</f>
        <v>1.2335790354775695</v>
      </c>
      <c r="D29" s="21">
        <f>D27/(1+Assumptions!$C$16)^D28</f>
        <v>5.0583595414220293</v>
      </c>
      <c r="E29" s="21">
        <f>E27/(1+Assumptions!$C$16)^E28</f>
        <v>4.4677290057975299</v>
      </c>
      <c r="F29" s="21">
        <f>F27/(1+Assumptions!$C$16)^F28</f>
        <v>3.912035261487381</v>
      </c>
      <c r="G29" s="21">
        <f>G27/(1+Assumptions!$C$16)^G28</f>
        <v>3.6940528232376519</v>
      </c>
      <c r="H29" s="21">
        <f>H27/(1+Assumptions!$C$16)^H28</f>
        <v>3.4659368273811322</v>
      </c>
      <c r="I29" s="21">
        <f>I27/(1+Assumptions!$C$16)^I28</f>
        <v>3.251907474254891</v>
      </c>
      <c r="J29" s="21">
        <f>J27/(1+Assumptions!$C$16)^J28</f>
        <v>3.0510948857828701</v>
      </c>
      <c r="K29" s="21">
        <f>K27/(1+Assumptions!$C$16)^K28</f>
        <v>2.8626829004744638</v>
      </c>
      <c r="L29" s="21">
        <f>L27/(1+Assumptions!$C$16)^L28</f>
        <v>2.6859057563323212</v>
      </c>
    </row>
    <row r="30" spans="2:12" x14ac:dyDescent="0.25">
      <c r="B30" s="8" t="s">
        <v>111</v>
      </c>
      <c r="C30" s="26">
        <f>SUM(C29:L29)</f>
        <v>33.683283511647844</v>
      </c>
    </row>
    <row r="31" spans="2:12" x14ac:dyDescent="0.25">
      <c r="B31" s="2" t="s">
        <v>112</v>
      </c>
      <c r="C31" s="27">
        <f>Assumptions!C19*L24</f>
        <v>85.397224089991511</v>
      </c>
    </row>
    <row r="32" spans="2:12" x14ac:dyDescent="0.25">
      <c r="B32" s="2" t="s">
        <v>113</v>
      </c>
      <c r="C32" s="27">
        <f>L27*(1+Assumptions!C20)/(Assumptions!C16-Assumptions!C20)</f>
        <v>92.187043763274986</v>
      </c>
    </row>
    <row r="33" spans="2:12" x14ac:dyDescent="0.25">
      <c r="B33" s="8" t="s">
        <v>114</v>
      </c>
      <c r="C33" s="28">
        <f>Assumptions!C21*C31+(1-Assumptions!C21)*C32</f>
        <v>88.792133926633255</v>
      </c>
    </row>
    <row r="34" spans="2:12" x14ac:dyDescent="0.25">
      <c r="B34" s="8" t="s">
        <v>115</v>
      </c>
      <c r="C34" s="26">
        <f>C33/(1+Assumptions!$C$16)^Assumptions!$C$22</f>
        <v>41.067860910116934</v>
      </c>
    </row>
    <row r="35" spans="2:12" x14ac:dyDescent="0.25">
      <c r="B35" s="8" t="s">
        <v>116</v>
      </c>
      <c r="C35" s="26">
        <f>C30+C34</f>
        <v>74.751144421764778</v>
      </c>
      <c r="D35" s="3" t="s">
        <v>117</v>
      </c>
      <c r="E35" s="29">
        <f>C34/C35</f>
        <v>0.54939441031700764</v>
      </c>
    </row>
    <row r="36" spans="2:12" x14ac:dyDescent="0.25">
      <c r="B36" s="2" t="s">
        <v>118</v>
      </c>
      <c r="C36" s="27">
        <f>-Assumptions!C31/1000</f>
        <v>-25.649000000000001</v>
      </c>
    </row>
    <row r="37" spans="2:12" x14ac:dyDescent="0.25">
      <c r="B37" s="8" t="s">
        <v>119</v>
      </c>
      <c r="C37" s="28">
        <f>C35+C36</f>
        <v>49.102144421764777</v>
      </c>
    </row>
    <row r="38" spans="2:12" x14ac:dyDescent="0.25">
      <c r="B38" s="8" t="s">
        <v>120</v>
      </c>
      <c r="C38" s="30">
        <f>C37*1000/Assumptions!C32</f>
        <v>144.1636653604368</v>
      </c>
    </row>
    <row r="39" spans="2:12" x14ac:dyDescent="0.25">
      <c r="B39" s="4" t="s">
        <v>122</v>
      </c>
    </row>
    <row r="40" spans="2:12" x14ac:dyDescent="0.25">
      <c r="B40" s="16"/>
      <c r="C40" s="16" t="s">
        <v>98</v>
      </c>
      <c r="D40" s="16" t="s">
        <v>63</v>
      </c>
      <c r="E40" s="16" t="s">
        <v>64</v>
      </c>
      <c r="F40" s="16" t="s">
        <v>99</v>
      </c>
      <c r="G40" s="16" t="s">
        <v>65</v>
      </c>
      <c r="H40" s="16" t="s">
        <v>100</v>
      </c>
      <c r="I40" s="16" t="s">
        <v>101</v>
      </c>
      <c r="J40" s="16" t="s">
        <v>102</v>
      </c>
      <c r="K40" s="16" t="s">
        <v>103</v>
      </c>
      <c r="L40" s="16" t="s">
        <v>104</v>
      </c>
    </row>
    <row r="41" spans="2:12" x14ac:dyDescent="0.25">
      <c r="B41" s="23" t="s">
        <v>105</v>
      </c>
      <c r="C41" s="21">
        <f>0.25*Scenarios!C7</f>
        <v>1.8</v>
      </c>
      <c r="D41" s="21">
        <f>Scenarios!D7</f>
        <v>8.2899999999999991</v>
      </c>
      <c r="E41" s="21">
        <f>Scenarios!E7</f>
        <v>8.8699999999999992</v>
      </c>
      <c r="F41" s="21">
        <f>Scenarios!F7</f>
        <v>9.1795969410426714</v>
      </c>
      <c r="G41" s="21">
        <f>Scenarios!G7</f>
        <v>9.5</v>
      </c>
      <c r="H41" s="21">
        <f>Scenarios!H7</f>
        <v>9.7157450000000001</v>
      </c>
      <c r="I41" s="21">
        <f>Scenarios!I7</f>
        <v>9.9363895689500001</v>
      </c>
      <c r="J41" s="21">
        <f>Scenarios!J7</f>
        <v>10.162044976060855</v>
      </c>
      <c r="K41" s="21">
        <f>Scenarios!K7</f>
        <v>10.392825017467198</v>
      </c>
      <c r="L41" s="21">
        <f>Scenarios!L7</f>
        <v>10.628846073613877</v>
      </c>
    </row>
    <row r="42" spans="2:12" x14ac:dyDescent="0.25">
      <c r="B42" s="23" t="s">
        <v>106</v>
      </c>
      <c r="C42" s="21">
        <f>-0.25*Scenarios!C14*(Scenarios!C7-Scenarios!C12)</f>
        <v>-5.3499999999999999E-2</v>
      </c>
      <c r="D42" s="21">
        <f>-Scenarios!D14*(Scenarios!D7-Scenarios!D12)</f>
        <v>-0.64029999999999987</v>
      </c>
      <c r="E42" s="21">
        <f>-Scenarios!E14*(Scenarios!E7-Scenarios!E12)</f>
        <v>-1.0417889999999999</v>
      </c>
      <c r="F42" s="21">
        <f>-Scenarios!F14*(Scenarios!F7-Scenarios!F12)</f>
        <v>-1.5154360496189609</v>
      </c>
      <c r="G42" s="21">
        <f>-Scenarios!G14*(Scenarios!G7-Scenarios!G12)</f>
        <v>-1.5744751058399999</v>
      </c>
      <c r="H42" s="21">
        <f>-Scenarios!H14*(Scenarios!H7-Scenarios!H12)</f>
        <v>-1.6113710579567999</v>
      </c>
      <c r="I42" s="21">
        <f>-Scenarios!I14*(Scenarios!I7-Scenarios!I12)</f>
        <v>-1.6491277095954358</v>
      </c>
      <c r="J42" s="21">
        <f>-Scenarios!J14*(Scenarios!J7-Scenarios!J12)</f>
        <v>-1.6877650630910344</v>
      </c>
      <c r="K42" s="21">
        <f>-Scenarios!K14*(Scenarios!K7-Scenarios!K12)</f>
        <v>-1.7273035841487312</v>
      </c>
      <c r="L42" s="21">
        <f>-Scenarios!L14*(Scenarios!L7-Scenarios!L12)</f>
        <v>-1.7677642125491464</v>
      </c>
    </row>
    <row r="43" spans="2:12" x14ac:dyDescent="0.25">
      <c r="B43" s="23" t="s">
        <v>107</v>
      </c>
      <c r="C43" s="21">
        <f>-0.25*Scenarios!C13</f>
        <v>-0.5</v>
      </c>
      <c r="D43" s="21">
        <f>-Scenarios!D13</f>
        <v>-2.04</v>
      </c>
      <c r="E43" s="21">
        <f>-Scenarios!E13</f>
        <v>-2.0808</v>
      </c>
      <c r="F43" s="21">
        <f>-Scenarios!F13</f>
        <v>-2.1224159999999999</v>
      </c>
      <c r="G43" s="21">
        <f>-Scenarios!G13</f>
        <v>-2.16486432</v>
      </c>
      <c r="H43" s="21">
        <f>-Scenarios!H13</f>
        <v>-2.2081616064</v>
      </c>
      <c r="I43" s="21">
        <f>-Scenarios!I13</f>
        <v>-2.2523248385280001</v>
      </c>
      <c r="J43" s="21">
        <f>-Scenarios!J13</f>
        <v>-2.2973713352985601</v>
      </c>
      <c r="K43" s="21">
        <f>-Scenarios!K13</f>
        <v>-2.3433187620045315</v>
      </c>
      <c r="L43" s="21">
        <f>-Scenarios!L13</f>
        <v>-2.3901851372446221</v>
      </c>
    </row>
    <row r="44" spans="2:12" x14ac:dyDescent="0.25">
      <c r="B44" s="17" t="s">
        <v>108</v>
      </c>
      <c r="C44" s="24">
        <f t="shared" ref="C44:L44" si="2">SUM(C41:C43)</f>
        <v>1.2464999999999999</v>
      </c>
      <c r="D44" s="24">
        <f t="shared" si="2"/>
        <v>5.6096999999999992</v>
      </c>
      <c r="E44" s="24">
        <f t="shared" si="2"/>
        <v>5.7474109999999996</v>
      </c>
      <c r="F44" s="24">
        <f t="shared" si="2"/>
        <v>5.5417448914237113</v>
      </c>
      <c r="G44" s="24">
        <f t="shared" si="2"/>
        <v>5.760660574160001</v>
      </c>
      <c r="H44" s="24">
        <f t="shared" si="2"/>
        <v>5.8962123356431997</v>
      </c>
      <c r="I44" s="24">
        <f t="shared" si="2"/>
        <v>6.0349370208265647</v>
      </c>
      <c r="J44" s="24">
        <f t="shared" si="2"/>
        <v>6.1769085776712593</v>
      </c>
      <c r="K44" s="24">
        <f t="shared" si="2"/>
        <v>6.3222026713139359</v>
      </c>
      <c r="L44" s="24">
        <f t="shared" si="2"/>
        <v>6.4708967238201094</v>
      </c>
    </row>
    <row r="45" spans="2:12" x14ac:dyDescent="0.25">
      <c r="B45" s="23" t="s">
        <v>109</v>
      </c>
      <c r="C45" s="25">
        <v>0.125</v>
      </c>
      <c r="D45" s="25">
        <v>0.75</v>
      </c>
      <c r="E45" s="25">
        <v>1.75</v>
      </c>
      <c r="F45" s="25">
        <v>2.75</v>
      </c>
      <c r="G45" s="25">
        <v>3.75</v>
      </c>
      <c r="H45" s="25">
        <v>4.75</v>
      </c>
      <c r="I45" s="25">
        <v>5.75</v>
      </c>
      <c r="J45" s="25">
        <v>6.75</v>
      </c>
      <c r="K45" s="25">
        <v>7.75</v>
      </c>
      <c r="L45" s="25">
        <v>8.75</v>
      </c>
    </row>
    <row r="46" spans="2:12" x14ac:dyDescent="0.25">
      <c r="B46" s="23" t="s">
        <v>110</v>
      </c>
      <c r="C46" s="21">
        <f>C44/(1+Assumptions!$C$16)^C45</f>
        <v>1.2335790354775695</v>
      </c>
      <c r="D46" s="21">
        <f>D44/(1+Assumptions!$C$16)^D45</f>
        <v>5.2697233865424549</v>
      </c>
      <c r="E46" s="21">
        <f>E44/(1+Assumptions!$C$16)^E45</f>
        <v>4.9672728349399549</v>
      </c>
      <c r="F46" s="21">
        <f>F44/(1+Assumptions!$C$16)^F45</f>
        <v>4.4064603525749115</v>
      </c>
      <c r="G46" s="21">
        <f>G44/(1+Assumptions!$C$16)^G45</f>
        <v>4.2141811603306616</v>
      </c>
      <c r="H46" s="21">
        <f>H44/(1+Assumptions!$C$16)^H45</f>
        <v>3.9683649642997083</v>
      </c>
      <c r="I46" s="21">
        <f>I44/(1+Assumptions!$C$16)^I45</f>
        <v>3.736877068126168</v>
      </c>
      <c r="J46" s="21">
        <f>J44/(1+Assumptions!$C$16)^J45</f>
        <v>3.5188829388417378</v>
      </c>
      <c r="K46" s="21">
        <f>K44/(1+Assumptions!$C$16)^K45</f>
        <v>3.31359660951503</v>
      </c>
      <c r="L46" s="21">
        <f>L44/(1+Assumptions!$C$16)^L45</f>
        <v>3.1202778554419055</v>
      </c>
    </row>
    <row r="47" spans="2:12" x14ac:dyDescent="0.25">
      <c r="B47" s="8" t="s">
        <v>111</v>
      </c>
      <c r="C47" s="26">
        <f>SUM(C46:L46)</f>
        <v>37.749216206090104</v>
      </c>
    </row>
    <row r="48" spans="2:12" x14ac:dyDescent="0.25">
      <c r="B48" s="2" t="s">
        <v>112</v>
      </c>
      <c r="C48" s="27">
        <f>Assumptions!C19*L41</f>
        <v>95.659614662524888</v>
      </c>
    </row>
    <row r="49" spans="2:12" x14ac:dyDescent="0.25">
      <c r="B49" s="2" t="s">
        <v>113</v>
      </c>
      <c r="C49" s="27">
        <f>L44*(1+Assumptions!C20)/(Assumptions!C16-Assumptions!C20)</f>
        <v>107.09578716045263</v>
      </c>
    </row>
    <row r="50" spans="2:12" x14ac:dyDescent="0.25">
      <c r="B50" s="8" t="s">
        <v>114</v>
      </c>
      <c r="C50" s="28">
        <f>Assumptions!C21*C48+(1-Assumptions!C21)*C49</f>
        <v>101.37770091148876</v>
      </c>
    </row>
    <row r="51" spans="2:12" x14ac:dyDescent="0.25">
      <c r="B51" s="8" t="s">
        <v>115</v>
      </c>
      <c r="C51" s="26">
        <f>C50/(1+Assumptions!$C$16)^Assumptions!$C$22</f>
        <v>46.888898107354208</v>
      </c>
    </row>
    <row r="52" spans="2:12" x14ac:dyDescent="0.25">
      <c r="B52" s="8" t="s">
        <v>116</v>
      </c>
      <c r="C52" s="26">
        <f>C47+C51</f>
        <v>84.638114313444305</v>
      </c>
      <c r="D52" s="3" t="s">
        <v>117</v>
      </c>
      <c r="E52" s="29">
        <f>C51/C52</f>
        <v>0.55399270751364271</v>
      </c>
    </row>
    <row r="53" spans="2:12" x14ac:dyDescent="0.25">
      <c r="B53" s="2" t="s">
        <v>118</v>
      </c>
      <c r="C53" s="27">
        <f>-Assumptions!C31/1000</f>
        <v>-25.649000000000001</v>
      </c>
    </row>
    <row r="54" spans="2:12" x14ac:dyDescent="0.25">
      <c r="B54" s="8" t="s">
        <v>119</v>
      </c>
      <c r="C54" s="28">
        <f>C52+C53</f>
        <v>58.989114313444304</v>
      </c>
    </row>
    <row r="55" spans="2:12" x14ac:dyDescent="0.25">
      <c r="B55" s="8" t="s">
        <v>120</v>
      </c>
      <c r="C55" s="30">
        <f>C54*1000/Assumptions!C32</f>
        <v>173.19176251745245</v>
      </c>
    </row>
    <row r="56" spans="2:12" x14ac:dyDescent="0.25">
      <c r="B56" s="4" t="s">
        <v>123</v>
      </c>
    </row>
    <row r="57" spans="2:12" x14ac:dyDescent="0.25">
      <c r="B57" s="16"/>
      <c r="C57" s="16" t="s">
        <v>98</v>
      </c>
      <c r="D57" s="16" t="s">
        <v>63</v>
      </c>
      <c r="E57" s="16" t="s">
        <v>64</v>
      </c>
      <c r="F57" s="16" t="s">
        <v>99</v>
      </c>
      <c r="G57" s="16" t="s">
        <v>65</v>
      </c>
      <c r="H57" s="16" t="s">
        <v>100</v>
      </c>
      <c r="I57" s="16" t="s">
        <v>101</v>
      </c>
      <c r="J57" s="16" t="s">
        <v>102</v>
      </c>
      <c r="K57" s="16" t="s">
        <v>103</v>
      </c>
      <c r="L57" s="16" t="s">
        <v>104</v>
      </c>
    </row>
    <row r="58" spans="2:12" x14ac:dyDescent="0.25">
      <c r="B58" s="23" t="s">
        <v>105</v>
      </c>
      <c r="C58" s="21">
        <f>0.25*Scenarios!C9</f>
        <v>1.8075000000000001</v>
      </c>
      <c r="D58" s="21">
        <f>Scenarios!D9</f>
        <v>8.0500000000000007</v>
      </c>
      <c r="E58" s="21">
        <f>Scenarios!E9</f>
        <v>8.7899999999999991</v>
      </c>
      <c r="F58" s="21">
        <f>Scenarios!F9</f>
        <v>9.0073315681183832</v>
      </c>
      <c r="G58" s="21">
        <f>Scenarios!G9</f>
        <v>9.2300366300366292</v>
      </c>
      <c r="H58" s="21">
        <f>Scenarios!H9</f>
        <v>9.4133451575091556</v>
      </c>
      <c r="I58" s="21">
        <f>Scenarios!I9</f>
        <v>9.6002941923372873</v>
      </c>
      <c r="J58" s="21">
        <f>Scenarios!J9</f>
        <v>9.7909560349971052</v>
      </c>
      <c r="K58" s="21">
        <f>Scenarios!K9</f>
        <v>9.9854044218521469</v>
      </c>
      <c r="L58" s="21">
        <f>Scenarios!L9</f>
        <v>10.18371455367013</v>
      </c>
    </row>
    <row r="59" spans="2:12" x14ac:dyDescent="0.25">
      <c r="B59" s="23" t="s">
        <v>106</v>
      </c>
      <c r="C59" s="21">
        <f>-0.25*Scenarios!C14*(Scenarios!C9-Scenarios!C12)</f>
        <v>-5.3800000000000008E-2</v>
      </c>
      <c r="D59" s="21">
        <f>-Scenarios!D14*(Scenarios!D9-Scenarios!D12)</f>
        <v>-0.61630000000000007</v>
      </c>
      <c r="E59" s="21">
        <f>-Scenarios!E14*(Scenarios!E9-Scenarios!E12)</f>
        <v>-1.0297889999999998</v>
      </c>
      <c r="F59" s="21">
        <f>-Scenarios!F14*(Scenarios!F9-Scenarios!F12)</f>
        <v>-1.4792603213048603</v>
      </c>
      <c r="G59" s="21">
        <f>-Scenarios!G14*(Scenarios!G9-Scenarios!G12)</f>
        <v>-1.5177827981476919</v>
      </c>
      <c r="H59" s="21">
        <f>-Scenarios!H14*(Scenarios!H9-Scenarios!H12)</f>
        <v>-1.5478670910337224</v>
      </c>
      <c r="I59" s="21">
        <f>-Scenarios!I14*(Scenarios!I9-Scenarios!I12)</f>
        <v>-1.5785476805067662</v>
      </c>
      <c r="J59" s="21">
        <f>-Scenarios!J14*(Scenarios!J9-Scenarios!J12)</f>
        <v>-1.6098363854676467</v>
      </c>
      <c r="K59" s="21">
        <f>-Scenarios!K14*(Scenarios!K9-Scenarios!K12)</f>
        <v>-1.6417452590695707</v>
      </c>
      <c r="L59" s="21">
        <f>-Scenarios!L14*(Scenarios!L9-Scenarios!L12)</f>
        <v>-1.6742865933609594</v>
      </c>
    </row>
    <row r="60" spans="2:12" x14ac:dyDescent="0.25">
      <c r="B60" s="23" t="s">
        <v>107</v>
      </c>
      <c r="C60" s="21">
        <f>-0.25*Scenarios!C13</f>
        <v>-0.5</v>
      </c>
      <c r="D60" s="21">
        <f>-Scenarios!D13</f>
        <v>-2.04</v>
      </c>
      <c r="E60" s="21">
        <f>-Scenarios!E13</f>
        <v>-2.0808</v>
      </c>
      <c r="F60" s="21">
        <f>-Scenarios!F13</f>
        <v>-2.1224159999999999</v>
      </c>
      <c r="G60" s="21">
        <f>-Scenarios!G13</f>
        <v>-2.16486432</v>
      </c>
      <c r="H60" s="21">
        <f>-Scenarios!H13</f>
        <v>-2.2081616064</v>
      </c>
      <c r="I60" s="21">
        <f>-Scenarios!I13</f>
        <v>-2.2523248385280001</v>
      </c>
      <c r="J60" s="21">
        <f>-Scenarios!J13</f>
        <v>-2.2973713352985601</v>
      </c>
      <c r="K60" s="21">
        <f>-Scenarios!K13</f>
        <v>-2.3433187620045315</v>
      </c>
      <c r="L60" s="21">
        <f>-Scenarios!L13</f>
        <v>-2.3901851372446221</v>
      </c>
    </row>
    <row r="61" spans="2:12" x14ac:dyDescent="0.25">
      <c r="B61" s="17" t="s">
        <v>108</v>
      </c>
      <c r="C61" s="24">
        <f t="shared" ref="C61:L61" si="3">SUM(C58:C60)</f>
        <v>1.2537</v>
      </c>
      <c r="D61" s="24">
        <f t="shared" si="3"/>
        <v>5.3937000000000008</v>
      </c>
      <c r="E61" s="24">
        <f t="shared" si="3"/>
        <v>5.6794109999999991</v>
      </c>
      <c r="F61" s="24">
        <f t="shared" si="3"/>
        <v>5.4056552468135237</v>
      </c>
      <c r="G61" s="24">
        <f t="shared" si="3"/>
        <v>5.5473895118889374</v>
      </c>
      <c r="H61" s="24">
        <f t="shared" si="3"/>
        <v>5.6573164600754327</v>
      </c>
      <c r="I61" s="24">
        <f t="shared" si="3"/>
        <v>5.7694216733025208</v>
      </c>
      <c r="J61" s="24">
        <f t="shared" si="3"/>
        <v>5.8837483142308979</v>
      </c>
      <c r="K61" s="24">
        <f t="shared" si="3"/>
        <v>6.0003404007780441</v>
      </c>
      <c r="L61" s="24">
        <f t="shared" si="3"/>
        <v>6.1192428230645497</v>
      </c>
    </row>
    <row r="62" spans="2:12" x14ac:dyDescent="0.25">
      <c r="B62" s="23" t="s">
        <v>109</v>
      </c>
      <c r="C62" s="25">
        <v>0.125</v>
      </c>
      <c r="D62" s="25">
        <v>0.75</v>
      </c>
      <c r="E62" s="25">
        <v>1.75</v>
      </c>
      <c r="F62" s="25">
        <v>2.75</v>
      </c>
      <c r="G62" s="25">
        <v>3.75</v>
      </c>
      <c r="H62" s="25">
        <v>4.75</v>
      </c>
      <c r="I62" s="25">
        <v>5.75</v>
      </c>
      <c r="J62" s="25">
        <v>6.75</v>
      </c>
      <c r="K62" s="25">
        <v>7.75</v>
      </c>
      <c r="L62" s="25">
        <v>8.75</v>
      </c>
    </row>
    <row r="63" spans="2:12" x14ac:dyDescent="0.25">
      <c r="B63" s="23" t="s">
        <v>110</v>
      </c>
      <c r="C63" s="21">
        <f>C61/(1+Assumptions!$C$16)^C62</f>
        <v>1.2407044017474762</v>
      </c>
      <c r="D63" s="21">
        <f>D61/(1+Assumptions!$C$16)^D62</f>
        <v>5.0668140952268477</v>
      </c>
      <c r="E63" s="21">
        <f>E61/(1+Assumptions!$C$16)^E62</f>
        <v>4.9085029726879048</v>
      </c>
      <c r="F63" s="21">
        <f>F61/(1+Assumptions!$C$16)^F62</f>
        <v>4.2982500983824377</v>
      </c>
      <c r="G63" s="21">
        <f>G61/(1+Assumptions!$C$16)^G62</f>
        <v>4.0581638284472463</v>
      </c>
      <c r="H63" s="21">
        <f>H61/(1+Assumptions!$C$16)^H62</f>
        <v>3.8075793669107001</v>
      </c>
      <c r="I63" s="21">
        <f>I61/(1+Assumptions!$C$16)^I62</f>
        <v>3.5724680262465141</v>
      </c>
      <c r="J63" s="21">
        <f>J61/(1+Assumptions!$C$16)^J62</f>
        <v>3.3518743719518653</v>
      </c>
      <c r="K63" s="21">
        <f>K61/(1+Assumptions!$C$16)^K62</f>
        <v>3.144901965602755</v>
      </c>
      <c r="L63" s="21">
        <f>L61/(1+Assumptions!$C$16)^L62</f>
        <v>2.9507097219762288</v>
      </c>
    </row>
    <row r="64" spans="2:12" x14ac:dyDescent="0.25">
      <c r="B64" s="8" t="s">
        <v>111</v>
      </c>
      <c r="C64" s="26">
        <f>SUM(C63:L63)</f>
        <v>36.399968849179977</v>
      </c>
    </row>
    <row r="65" spans="2:5" x14ac:dyDescent="0.25">
      <c r="B65" s="2" t="s">
        <v>112</v>
      </c>
      <c r="C65" s="27">
        <f>Assumptions!C19*L58</f>
        <v>91.653430983031171</v>
      </c>
    </row>
    <row r="66" spans="2:5" x14ac:dyDescent="0.25">
      <c r="B66" s="2" t="s">
        <v>113</v>
      </c>
      <c r="C66" s="27">
        <f>L61*(1+Assumptions!C20)/(Assumptions!C16-Assumptions!C20)</f>
        <v>101.27578215699968</v>
      </c>
    </row>
    <row r="67" spans="2:5" x14ac:dyDescent="0.25">
      <c r="B67" s="8" t="s">
        <v>114</v>
      </c>
      <c r="C67" s="28">
        <f>Assumptions!C21*C65+(1-Assumptions!C21)*C66</f>
        <v>96.464606570015434</v>
      </c>
    </row>
    <row r="68" spans="2:5" x14ac:dyDescent="0.25">
      <c r="B68" s="8" t="s">
        <v>115</v>
      </c>
      <c r="C68" s="26">
        <f>C67/(1+Assumptions!$C$16)^Assumptions!$C$22</f>
        <v>44.616509032657262</v>
      </c>
    </row>
    <row r="69" spans="2:5" x14ac:dyDescent="0.25">
      <c r="B69" s="8" t="s">
        <v>116</v>
      </c>
      <c r="C69" s="26">
        <f>C64+C68</f>
        <v>81.016477881837233</v>
      </c>
      <c r="D69" s="3" t="s">
        <v>117</v>
      </c>
      <c r="E69" s="29">
        <f>C68/C69</f>
        <v>0.55070906807045561</v>
      </c>
    </row>
    <row r="70" spans="2:5" x14ac:dyDescent="0.25">
      <c r="B70" s="2" t="s">
        <v>118</v>
      </c>
      <c r="C70" s="27">
        <f>-Assumptions!C31/1000</f>
        <v>-25.649000000000001</v>
      </c>
    </row>
    <row r="71" spans="2:5" x14ac:dyDescent="0.25">
      <c r="B71" s="8" t="s">
        <v>119</v>
      </c>
      <c r="C71" s="28">
        <f>C69+C70</f>
        <v>55.367477881837232</v>
      </c>
    </row>
    <row r="72" spans="2:5" x14ac:dyDescent="0.25">
      <c r="B72" s="8" t="s">
        <v>120</v>
      </c>
      <c r="C72" s="30">
        <f>C71*1000/Assumptions!C32</f>
        <v>162.55865496722615</v>
      </c>
    </row>
    <row r="74" spans="2:5" x14ac:dyDescent="0.25">
      <c r="B74" s="4" t="s">
        <v>124</v>
      </c>
    </row>
    <row r="75" spans="2:5" x14ac:dyDescent="0.25">
      <c r="B75" s="2" t="s">
        <v>125</v>
      </c>
      <c r="C75" s="30">
        <f>Assumptions!H47*C21+Assumptions!H48*C38+Assumptions!H49*C55</f>
        <v>138.66036676603636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9"/>
  <sheetViews>
    <sheetView showGridLines="0" workbookViewId="0"/>
  </sheetViews>
  <sheetFormatPr defaultRowHeight="15" x14ac:dyDescent="0.25"/>
  <cols>
    <col min="1" max="1" width="2" customWidth="1"/>
    <col min="2" max="2" width="42" customWidth="1"/>
    <col min="3" max="3" width="14" customWidth="1"/>
  </cols>
  <sheetData>
    <row r="2" spans="2:3" ht="18" x14ac:dyDescent="0.25">
      <c r="B2" s="1" t="s">
        <v>126</v>
      </c>
    </row>
    <row r="4" spans="2:3" x14ac:dyDescent="0.25">
      <c r="B4" s="3" t="s">
        <v>127</v>
      </c>
    </row>
    <row r="6" spans="2:3" x14ac:dyDescent="0.25">
      <c r="B6" s="4" t="s">
        <v>128</v>
      </c>
    </row>
    <row r="7" spans="2:3" x14ac:dyDescent="0.25">
      <c r="B7" s="2" t="s">
        <v>129</v>
      </c>
      <c r="C7" s="31">
        <v>15.1</v>
      </c>
    </row>
    <row r="8" spans="2:3" x14ac:dyDescent="0.25">
      <c r="B8" s="2" t="s">
        <v>130</v>
      </c>
      <c r="C8" s="32">
        <f>((SUM(DCF!C29:L29))+(C7*DCF!L24)/(1+Assumptions!C16)^Assumptions!C22-Assumptions!C31/1000)*1000/Assumptions!C32</f>
        <v>218.15201421121239</v>
      </c>
    </row>
    <row r="10" spans="2:3" x14ac:dyDescent="0.25">
      <c r="B10" s="4" t="s">
        <v>131</v>
      </c>
    </row>
    <row r="11" spans="2:3" x14ac:dyDescent="0.25">
      <c r="B11" s="2" t="s">
        <v>132</v>
      </c>
      <c r="C11" s="9">
        <v>6.5299999999999997E-2</v>
      </c>
    </row>
    <row r="12" spans="2:3" x14ac:dyDescent="0.25">
      <c r="B12" s="2" t="s">
        <v>133</v>
      </c>
      <c r="C12" s="33">
        <f>(C11-Assumptions!C13*Assumptions!C9*(1-Assumptions!C10)-Assumptions!C14*Assumptions!C11)/Assumptions!C12</f>
        <v>7.3447812499999987E-2</v>
      </c>
    </row>
    <row r="14" spans="2:3" x14ac:dyDescent="0.25">
      <c r="B14" s="4" t="s">
        <v>134</v>
      </c>
    </row>
    <row r="15" spans="2:3" x14ac:dyDescent="0.25">
      <c r="B15" s="2" t="s">
        <v>135</v>
      </c>
    </row>
    <row r="16" spans="2:3" x14ac:dyDescent="0.25">
      <c r="B16" s="2" t="s">
        <v>136</v>
      </c>
    </row>
    <row r="17" spans="2:2" x14ac:dyDescent="0.25">
      <c r="B17" s="2" t="s">
        <v>137</v>
      </c>
    </row>
    <row r="18" spans="2:2" x14ac:dyDescent="0.25">
      <c r="B18" s="2" t="s">
        <v>138</v>
      </c>
    </row>
    <row r="19" spans="2:2" x14ac:dyDescent="0.25">
      <c r="B19" s="2" t="s">
        <v>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27"/>
  <sheetViews>
    <sheetView showGridLines="0" workbookViewId="0"/>
  </sheetViews>
  <sheetFormatPr defaultRowHeight="15" x14ac:dyDescent="0.25"/>
  <cols>
    <col min="1" max="1" width="2" customWidth="1"/>
    <col min="2" max="2" width="30" customWidth="1"/>
    <col min="3" max="5" width="16" customWidth="1"/>
    <col min="6" max="6" width="40" customWidth="1"/>
  </cols>
  <sheetData>
    <row r="2" spans="2:5" ht="18" x14ac:dyDescent="0.25">
      <c r="B2" s="1" t="s">
        <v>140</v>
      </c>
    </row>
    <row r="4" spans="2:5" x14ac:dyDescent="0.25">
      <c r="B4" s="4" t="s">
        <v>141</v>
      </c>
    </row>
    <row r="5" spans="2:5" x14ac:dyDescent="0.25">
      <c r="B5" s="34" t="s">
        <v>142</v>
      </c>
      <c r="C5" s="34" t="s">
        <v>143</v>
      </c>
      <c r="E5" s="34" t="s">
        <v>144</v>
      </c>
    </row>
    <row r="6" spans="2:5" x14ac:dyDescent="0.25">
      <c r="B6" s="23" t="s">
        <v>145</v>
      </c>
      <c r="C6" s="35">
        <v>7.2</v>
      </c>
      <c r="E6" s="3" t="s">
        <v>146</v>
      </c>
    </row>
    <row r="7" spans="2:5" x14ac:dyDescent="0.25">
      <c r="B7" s="23" t="s">
        <v>147</v>
      </c>
      <c r="C7" s="35">
        <v>8.9</v>
      </c>
      <c r="E7" s="3"/>
    </row>
    <row r="8" spans="2:5" x14ac:dyDescent="0.25">
      <c r="B8" s="23" t="s">
        <v>148</v>
      </c>
      <c r="C8" s="36">
        <v>9.1999999999999993</v>
      </c>
      <c r="E8" s="3" t="s">
        <v>149</v>
      </c>
    </row>
    <row r="9" spans="2:5" x14ac:dyDescent="0.25">
      <c r="B9" s="23" t="s">
        <v>150</v>
      </c>
      <c r="C9" s="35">
        <v>10.9</v>
      </c>
      <c r="E9" s="3"/>
    </row>
    <row r="10" spans="2:5" x14ac:dyDescent="0.25">
      <c r="B10" s="23" t="s">
        <v>151</v>
      </c>
      <c r="C10" s="35">
        <v>11.4</v>
      </c>
      <c r="E10" s="3"/>
    </row>
    <row r="11" spans="2:5" x14ac:dyDescent="0.25">
      <c r="B11" s="23" t="s">
        <v>152</v>
      </c>
      <c r="C11" s="35">
        <v>12.1</v>
      </c>
      <c r="E11" s="3" t="s">
        <v>153</v>
      </c>
    </row>
    <row r="13" spans="2:5" x14ac:dyDescent="0.25">
      <c r="B13" s="3" t="s">
        <v>154</v>
      </c>
    </row>
    <row r="16" spans="2:5" x14ac:dyDescent="0.25">
      <c r="B16" s="8" t="s">
        <v>155</v>
      </c>
      <c r="D16" s="37">
        <f>AVERAGE(C6,C7,C11)</f>
        <v>9.4</v>
      </c>
    </row>
    <row r="18" spans="2:4" x14ac:dyDescent="0.25">
      <c r="B18" s="4" t="s">
        <v>156</v>
      </c>
    </row>
    <row r="19" spans="2:4" x14ac:dyDescent="0.25">
      <c r="B19" s="34" t="s">
        <v>157</v>
      </c>
      <c r="C19" s="34" t="s">
        <v>158</v>
      </c>
      <c r="D19" s="34" t="s">
        <v>159</v>
      </c>
    </row>
    <row r="20" spans="2:4" x14ac:dyDescent="0.25">
      <c r="B20" s="23" t="s">
        <v>160</v>
      </c>
      <c r="C20" s="32">
        <f>DCF!C75</f>
        <v>138.66036676603636</v>
      </c>
      <c r="D20" s="22">
        <f>Assumptions!C64</f>
        <v>0.5</v>
      </c>
    </row>
    <row r="21" spans="2:4" x14ac:dyDescent="0.25">
      <c r="B21" s="23" t="s">
        <v>161</v>
      </c>
      <c r="C21" s="32">
        <f>(D16*Assumptions!D48-Assumptions!C31/1000)*1000/Assumptions!C32</f>
        <v>146.58543746330002</v>
      </c>
      <c r="D21" s="22">
        <f>Assumptions!C65</f>
        <v>0.25</v>
      </c>
    </row>
    <row r="22" spans="2:4" x14ac:dyDescent="0.25">
      <c r="B22" s="23" t="s">
        <v>162</v>
      </c>
      <c r="C22" s="32">
        <f>Assumptions!C59/Assumptions!C58*1000/Assumptions!C32</f>
        <v>138.99840617397868</v>
      </c>
      <c r="D22" s="22">
        <f>Assumptions!C66</f>
        <v>0.25</v>
      </c>
    </row>
    <row r="23" spans="2:4" x14ac:dyDescent="0.25">
      <c r="B23" s="23" t="s">
        <v>163</v>
      </c>
      <c r="C23" s="32">
        <f>Assumptions!C60*Assumptions!C61</f>
        <v>145.2317410714285</v>
      </c>
      <c r="D23" s="38" t="s">
        <v>164</v>
      </c>
    </row>
    <row r="25" spans="2:4" x14ac:dyDescent="0.25">
      <c r="B25" s="8" t="s">
        <v>165</v>
      </c>
      <c r="C25" s="30">
        <f>C20*D20+C21*D21+C22*D22</f>
        <v>140.72614429233786</v>
      </c>
    </row>
    <row r="26" spans="2:4" x14ac:dyDescent="0.25">
      <c r="B26" s="8" t="s">
        <v>166</v>
      </c>
      <c r="C26" s="39">
        <f>ROUND(C25/5,0)*5</f>
        <v>140</v>
      </c>
    </row>
    <row r="27" spans="2:4" x14ac:dyDescent="0.25">
      <c r="B27" s="2" t="s">
        <v>167</v>
      </c>
      <c r="C27" s="40">
        <f>C26/Assumptions!C33-1</f>
        <v>1.1926273942898469E-2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E42"/>
  <sheetViews>
    <sheetView showGridLines="0" workbookViewId="0"/>
  </sheetViews>
  <sheetFormatPr defaultRowHeight="15" x14ac:dyDescent="0.25"/>
  <cols>
    <col min="1" max="1" width="2" customWidth="1"/>
    <col min="2" max="2" width="44" customWidth="1"/>
    <col min="3" max="5" width="13" customWidth="1"/>
  </cols>
  <sheetData>
    <row r="2" spans="2:5" ht="18" x14ac:dyDescent="0.25">
      <c r="B2" s="1" t="s">
        <v>168</v>
      </c>
    </row>
    <row r="3" spans="2:5" x14ac:dyDescent="0.25">
      <c r="B3" s="3" t="s">
        <v>169</v>
      </c>
    </row>
    <row r="5" spans="2:5" x14ac:dyDescent="0.25">
      <c r="B5" s="2"/>
      <c r="C5" s="16" t="s">
        <v>170</v>
      </c>
      <c r="D5" s="16" t="s">
        <v>171</v>
      </c>
      <c r="E5" s="16" t="s">
        <v>172</v>
      </c>
    </row>
    <row r="6" spans="2:5" x14ac:dyDescent="0.25">
      <c r="B6" s="4" t="s">
        <v>173</v>
      </c>
    </row>
    <row r="7" spans="2:5" x14ac:dyDescent="0.25">
      <c r="B7" s="23" t="s">
        <v>174</v>
      </c>
      <c r="C7" s="18">
        <v>22.46</v>
      </c>
      <c r="D7" s="18">
        <v>23.91</v>
      </c>
      <c r="E7" s="38" t="s">
        <v>175</v>
      </c>
    </row>
    <row r="8" spans="2:5" x14ac:dyDescent="0.25">
      <c r="B8" s="17" t="s">
        <v>176</v>
      </c>
      <c r="C8" s="24">
        <f>Scenarios!C6</f>
        <v>7.2</v>
      </c>
      <c r="D8" s="24">
        <f>Scenarios!D6</f>
        <v>8.0399999999999991</v>
      </c>
      <c r="E8" s="24">
        <f>Scenarios!E6</f>
        <v>8.19</v>
      </c>
    </row>
    <row r="9" spans="2:5" x14ac:dyDescent="0.25">
      <c r="B9" s="23" t="s">
        <v>91</v>
      </c>
      <c r="C9" s="21">
        <f>-Scenarios!C12</f>
        <v>-1.85</v>
      </c>
      <c r="D9" s="21">
        <f>-Scenarios!D12</f>
        <v>-1.8870000000000002</v>
      </c>
      <c r="E9" s="21">
        <f>-Scenarios!E12</f>
        <v>-1.9247400000000003</v>
      </c>
    </row>
    <row r="10" spans="2:5" x14ac:dyDescent="0.25">
      <c r="B10" s="23" t="s">
        <v>177</v>
      </c>
      <c r="C10" s="21">
        <f>C8+C9</f>
        <v>5.35</v>
      </c>
      <c r="D10" s="21">
        <f>D8+D9</f>
        <v>6.1529999999999987</v>
      </c>
      <c r="E10" s="21">
        <f>E8+E9</f>
        <v>6.2652599999999996</v>
      </c>
    </row>
    <row r="11" spans="2:5" x14ac:dyDescent="0.25">
      <c r="B11" s="23" t="s">
        <v>178</v>
      </c>
      <c r="C11" s="18">
        <v>-1.45</v>
      </c>
      <c r="D11" s="18">
        <v>-1.65</v>
      </c>
      <c r="E11" s="18">
        <v>-1.68</v>
      </c>
    </row>
    <row r="12" spans="2:5" x14ac:dyDescent="0.25">
      <c r="B12" s="23" t="s">
        <v>179</v>
      </c>
      <c r="C12" s="21">
        <f>C10+C11</f>
        <v>3.8999999999999995</v>
      </c>
      <c r="D12" s="21">
        <f>D10+D11</f>
        <v>4.5029999999999983</v>
      </c>
      <c r="E12" s="21">
        <f>E10+E11</f>
        <v>4.5852599999999999</v>
      </c>
    </row>
    <row r="13" spans="2:5" x14ac:dyDescent="0.25">
      <c r="B13" s="23" t="s">
        <v>180</v>
      </c>
      <c r="C13" s="21">
        <f>-0.21*C12</f>
        <v>-0.81899999999999984</v>
      </c>
      <c r="D13" s="21">
        <f>-0.21*D12</f>
        <v>-0.94562999999999964</v>
      </c>
      <c r="E13" s="21">
        <f>-0.21*E12</f>
        <v>-0.96290459999999989</v>
      </c>
    </row>
    <row r="14" spans="2:5" x14ac:dyDescent="0.25">
      <c r="B14" s="23" t="s">
        <v>181</v>
      </c>
      <c r="C14" s="21">
        <f>C12+C13</f>
        <v>3.0809999999999995</v>
      </c>
      <c r="D14" s="21">
        <f>D12+D13</f>
        <v>3.5573699999999988</v>
      </c>
      <c r="E14" s="21">
        <f>E12+E13</f>
        <v>3.6223554</v>
      </c>
    </row>
    <row r="15" spans="2:5" x14ac:dyDescent="0.25">
      <c r="B15" s="23" t="s">
        <v>182</v>
      </c>
      <c r="C15" s="18">
        <v>-0.192</v>
      </c>
      <c r="D15" s="18">
        <v>-0.192</v>
      </c>
      <c r="E15" s="18">
        <v>-0.192</v>
      </c>
    </row>
    <row r="16" spans="2:5" x14ac:dyDescent="0.25">
      <c r="B16" s="17" t="s">
        <v>183</v>
      </c>
      <c r="C16" s="24">
        <f>C14+C15</f>
        <v>2.8889999999999993</v>
      </c>
      <c r="D16" s="24">
        <f>D14+D15</f>
        <v>3.3653699999999986</v>
      </c>
      <c r="E16" s="24">
        <f>E14+E15</f>
        <v>3.4303553999999998</v>
      </c>
    </row>
    <row r="18" spans="2:5" x14ac:dyDescent="0.25">
      <c r="B18" s="23" t="s">
        <v>184</v>
      </c>
      <c r="C18" s="41">
        <v>340.6</v>
      </c>
      <c r="D18" s="41">
        <v>336</v>
      </c>
      <c r="E18" s="41">
        <v>331</v>
      </c>
    </row>
    <row r="20" spans="2:5" x14ac:dyDescent="0.25">
      <c r="B20" s="23" t="s">
        <v>185</v>
      </c>
      <c r="C20" s="42">
        <v>8.6199999999999992</v>
      </c>
      <c r="D20" s="42">
        <v>10.37</v>
      </c>
      <c r="E20" s="42">
        <v>11.91</v>
      </c>
    </row>
    <row r="24" spans="2:5" x14ac:dyDescent="0.25">
      <c r="B24" s="17" t="s">
        <v>186</v>
      </c>
      <c r="C24" s="43">
        <f>C16*1000/C18</f>
        <v>8.4820904286553116</v>
      </c>
      <c r="D24" s="43">
        <f>D16*1000/D18</f>
        <v>10.015982142857139</v>
      </c>
      <c r="E24" s="43">
        <f>E16*1000/E18</f>
        <v>10.363611480362538</v>
      </c>
    </row>
    <row r="26" spans="2:5" x14ac:dyDescent="0.25">
      <c r="B26" s="4" t="s">
        <v>187</v>
      </c>
    </row>
    <row r="27" spans="2:5" x14ac:dyDescent="0.25">
      <c r="B27" s="17" t="s">
        <v>188</v>
      </c>
      <c r="C27" s="44">
        <v>4.33</v>
      </c>
      <c r="D27" s="44">
        <v>4.55</v>
      </c>
      <c r="E27" s="44">
        <v>4.4000000000000004</v>
      </c>
    </row>
    <row r="28" spans="2:5" x14ac:dyDescent="0.25">
      <c r="B28" s="23" t="s">
        <v>189</v>
      </c>
      <c r="C28" s="42">
        <f>C27*1000/C18</f>
        <v>12.712859659424543</v>
      </c>
      <c r="D28" s="42">
        <f>D27*1000/D18</f>
        <v>13.541666666666666</v>
      </c>
      <c r="E28" s="42">
        <f>E27*1000/E18</f>
        <v>13.293051359516616</v>
      </c>
    </row>
    <row r="29" spans="2:5" x14ac:dyDescent="0.25">
      <c r="B29" s="23" t="s">
        <v>190</v>
      </c>
      <c r="C29" s="45">
        <f>C28/Assumptions!C33</f>
        <v>9.1889119330860455E-2</v>
      </c>
      <c r="D29" s="45">
        <f>D28/Assumptions!C33</f>
        <v>9.7879773521262495E-2</v>
      </c>
      <c r="E29" s="45">
        <f>E28/Assumptions!C33</f>
        <v>9.608277093976593E-2</v>
      </c>
    </row>
    <row r="30" spans="2:5" x14ac:dyDescent="0.25">
      <c r="B30" s="23" t="s">
        <v>191</v>
      </c>
      <c r="C30" s="18">
        <v>-0.95</v>
      </c>
      <c r="D30" s="18">
        <v>-1.044</v>
      </c>
      <c r="E30" s="18">
        <v>-1</v>
      </c>
    </row>
    <row r="31" spans="2:5" x14ac:dyDescent="0.25">
      <c r="B31" s="23" t="s">
        <v>192</v>
      </c>
      <c r="C31" s="21">
        <f>C15</f>
        <v>-0.192</v>
      </c>
      <c r="D31" s="21">
        <f>D15</f>
        <v>-0.192</v>
      </c>
      <c r="E31" s="21">
        <f>E15</f>
        <v>-0.192</v>
      </c>
    </row>
    <row r="32" spans="2:5" x14ac:dyDescent="0.25">
      <c r="B32" s="17" t="s">
        <v>193</v>
      </c>
      <c r="C32" s="46">
        <f>C27+C30+C31</f>
        <v>3.1879999999999997</v>
      </c>
      <c r="D32" s="46">
        <f>D27+D30+D31</f>
        <v>3.3139999999999996</v>
      </c>
      <c r="E32" s="46">
        <f>E27+E30+E31</f>
        <v>3.2080000000000002</v>
      </c>
    </row>
    <row r="34" spans="2:3" x14ac:dyDescent="0.25">
      <c r="B34" s="4" t="s">
        <v>194</v>
      </c>
    </row>
    <row r="35" spans="2:3" x14ac:dyDescent="0.25">
      <c r="B35" s="23" t="s">
        <v>195</v>
      </c>
      <c r="C35" s="21">
        <v>0.435</v>
      </c>
    </row>
    <row r="36" spans="2:3" x14ac:dyDescent="0.25">
      <c r="B36" s="23" t="s">
        <v>196</v>
      </c>
      <c r="C36" s="21">
        <v>19.895</v>
      </c>
    </row>
    <row r="37" spans="2:3" x14ac:dyDescent="0.25">
      <c r="B37" s="23" t="s">
        <v>197</v>
      </c>
      <c r="C37" s="21">
        <v>0.61299999999999999</v>
      </c>
    </row>
    <row r="38" spans="2:3" x14ac:dyDescent="0.25">
      <c r="B38" s="23" t="s">
        <v>198</v>
      </c>
      <c r="C38" s="21">
        <v>20.073</v>
      </c>
    </row>
    <row r="39" spans="2:3" x14ac:dyDescent="0.25">
      <c r="B39" s="23" t="s">
        <v>199</v>
      </c>
      <c r="C39" s="21">
        <v>2.476</v>
      </c>
    </row>
    <row r="40" spans="2:3" x14ac:dyDescent="0.25">
      <c r="B40" s="23" t="s">
        <v>200</v>
      </c>
      <c r="C40" s="38" t="s">
        <v>201</v>
      </c>
    </row>
    <row r="41" spans="2:3" x14ac:dyDescent="0.25">
      <c r="B41" s="23" t="s">
        <v>202</v>
      </c>
      <c r="C41" s="38" t="s">
        <v>203</v>
      </c>
    </row>
    <row r="42" spans="2:3" x14ac:dyDescent="0.25">
      <c r="B42" s="23" t="s">
        <v>204</v>
      </c>
      <c r="C42" s="21">
        <v>6.2949999999999999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1"/>
  <sheetViews>
    <sheetView showGridLines="0" workbookViewId="0"/>
  </sheetViews>
  <sheetFormatPr defaultRowHeight="15" x14ac:dyDescent="0.25"/>
  <cols>
    <col min="1" max="1" width="2" customWidth="1"/>
    <col min="2" max="2" width="16" customWidth="1"/>
    <col min="3" max="9" width="11" customWidth="1"/>
  </cols>
  <sheetData>
    <row r="2" spans="2:9" ht="18" x14ac:dyDescent="0.25">
      <c r="B2" s="1" t="s">
        <v>205</v>
      </c>
    </row>
    <row r="4" spans="2:9" x14ac:dyDescent="0.25">
      <c r="B4" s="16" t="s">
        <v>206</v>
      </c>
      <c r="C4" s="47">
        <v>7.4999999999999997E-2</v>
      </c>
      <c r="D4" s="47">
        <v>0.08</v>
      </c>
      <c r="E4" s="47">
        <v>8.5000000000000006E-2</v>
      </c>
      <c r="F4" s="47">
        <v>8.6999999999999994E-2</v>
      </c>
      <c r="G4" s="47">
        <v>0.09</v>
      </c>
      <c r="H4" s="47">
        <v>9.5000000000000001E-2</v>
      </c>
      <c r="I4" s="47">
        <v>0.1</v>
      </c>
    </row>
    <row r="5" spans="2:9" x14ac:dyDescent="0.25">
      <c r="B5" s="48">
        <v>7</v>
      </c>
      <c r="C5" s="49">
        <f>((DCF!C27/(1+C$4)^0.125+DCF!D27/(1+C$4)^0.75+DCF!E27/(1+C$4)^1.75+DCF!F27/(1+C$4)^2.75+DCF!G27/(1+C$4)^3.75+DCF!H27/(1+C$4)^4.75+DCF!I27/(1+C$4)^5.75+DCF!J27/(1+C$4)^6.75+DCF!K27/(1+C$4)^7.75+DCF!L27/(1+C$4)^8.75)+(Assumptions!$C$21*$B5*DCF!L24+(1-Assumptions!$C$21)*DCF!L27*(1+Assumptions!$C$20)/(C$4-Assumptions!$C$20))/(1+C$4)^Assumptions!$C$22-Assumptions!$C$31/1000)*1000/Assumptions!$C$32</f>
        <v>164.01188598424818</v>
      </c>
      <c r="D5" s="49">
        <f>((DCF!C27/(1+D$4)^0.125+DCF!D27/(1+D$4)^0.75+DCF!E27/(1+D$4)^1.75+DCF!F27/(1+D$4)^2.75+DCF!G27/(1+D$4)^3.75+DCF!H27/(1+D$4)^4.75+DCF!I27/(1+D$4)^5.75+DCF!J27/(1+D$4)^6.75+DCF!K27/(1+D$4)^7.75+DCF!L27/(1+D$4)^8.75)+(Assumptions!$C$21*$B5*DCF!L24+(1-Assumptions!$C$21)*DCF!L27*(1+Assumptions!$C$20)/(D$4-Assumptions!$C$20))/(1+D$4)^Assumptions!$C$22-Assumptions!$C$31/1000)*1000/Assumptions!$C$32</f>
        <v>148.8522333104892</v>
      </c>
      <c r="E5" s="49">
        <f>((DCF!C27/(1+E$4)^0.125+DCF!D27/(1+E$4)^0.75+DCF!E27/(1+E$4)^1.75+DCF!F27/(1+E$4)^2.75+DCF!G27/(1+E$4)^3.75+DCF!H27/(1+E$4)^4.75+DCF!I27/(1+E$4)^5.75+DCF!J27/(1+E$4)^6.75+DCF!K27/(1+E$4)^7.75+DCF!L27/(1+E$4)^8.75)+(Assumptions!$C$21*$B5*DCF!L24+(1-Assumptions!$C$21)*DCF!L27*(1+Assumptions!$C$20)/(E$4-Assumptions!$C$20))/(1+E$4)^Assumptions!$C$22-Assumptions!$C$31/1000)*1000/Assumptions!$C$32</f>
        <v>135.83834361778821</v>
      </c>
      <c r="F5" s="49">
        <f>((DCF!C27/(1+F$4)^0.125+DCF!D27/(1+F$4)^0.75+DCF!E27/(1+F$4)^1.75+DCF!F27/(1+F$4)^2.75+DCF!G27/(1+F$4)^3.75+DCF!H27/(1+F$4)^4.75+DCF!I27/(1+F$4)^5.75+DCF!J27/(1+F$4)^6.75+DCF!K27/(1+F$4)^7.75+DCF!L27/(1+F$4)^8.75)+(Assumptions!$C$21*$B5*DCF!L24+(1-Assumptions!$C$21)*DCF!L27*(1+Assumptions!$C$20)/(F$4-Assumptions!$C$20))/(1+F$4)^Assumptions!$C$22-Assumptions!$C$31/1000)*1000/Assumptions!$C$32</f>
        <v>131.12272850327116</v>
      </c>
      <c r="G5" s="49">
        <f>((DCF!C27/(1+G$4)^0.125+DCF!D27/(1+G$4)^0.75+DCF!E27/(1+G$4)^1.75+DCF!F27/(1+G$4)^2.75+DCF!G27/(1+G$4)^3.75+DCF!H27/(1+G$4)^4.75+DCF!I27/(1+G$4)^5.75+DCF!J27/(1+G$4)^6.75+DCF!K27/(1+G$4)^7.75+DCF!L27/(1+G$4)^8.75)+(Assumptions!$C$21*$B5*DCF!L24+(1-Assumptions!$C$21)*DCF!L27*(1+Assumptions!$C$20)/(G$4-Assumptions!$C$20))/(1+G$4)^Assumptions!$C$22-Assumptions!$C$31/1000)*1000/Assumptions!$C$32</f>
        <v>124.49786542265606</v>
      </c>
      <c r="H5" s="49">
        <f>((DCF!C27/(1+H$4)^0.125+DCF!D27/(1+H$4)^0.75+DCF!E27/(1+H$4)^1.75+DCF!F27/(1+H$4)^2.75+DCF!G27/(1+H$4)^3.75+DCF!H27/(1+H$4)^4.75+DCF!I27/(1+H$4)^5.75+DCF!J27/(1+H$4)^6.75+DCF!K27/(1+H$4)^7.75+DCF!L27/(1+H$4)^8.75)+(Assumptions!$C$21*$B5*DCF!L24+(1-Assumptions!$C$21)*DCF!L27*(1+Assumptions!$C$20)/(H$4-Assumptions!$C$20))/(1+H$4)^Assumptions!$C$22-Assumptions!$C$31/1000)*1000/Assumptions!$C$32</f>
        <v>114.49202398551608</v>
      </c>
      <c r="I5" s="49">
        <f>((DCF!C27/(1+I$4)^0.125+DCF!D27/(1+I$4)^0.75+DCF!E27/(1+I$4)^1.75+DCF!F27/(1+I$4)^2.75+DCF!G27/(1+I$4)^3.75+DCF!H27/(1+I$4)^4.75+DCF!I27/(1+I$4)^5.75+DCF!J27/(1+I$4)^6.75+DCF!K27/(1+I$4)^7.75+DCF!L27/(1+I$4)^8.75)+(Assumptions!$C$21*$B5*DCF!L24+(1-Assumptions!$C$21)*DCF!L27*(1+Assumptions!$C$20)/(I$4-Assumptions!$C$20))/(1+I$4)^Assumptions!$C$22-Assumptions!$C$31/1000)*1000/Assumptions!$C$32</f>
        <v>105.5711820965967</v>
      </c>
    </row>
    <row r="6" spans="2:9" x14ac:dyDescent="0.25">
      <c r="B6" s="48">
        <v>8</v>
      </c>
      <c r="C6" s="49">
        <f>((DCF!C27/(1+C$4)^0.125+DCF!D27/(1+C$4)^0.75+DCF!E27/(1+C$4)^1.75+DCF!F27/(1+C$4)^2.75+DCF!G27/(1+C$4)^3.75+DCF!H27/(1+C$4)^4.75+DCF!I27/(1+C$4)^5.75+DCF!J27/(1+C$4)^6.75+DCF!K27/(1+C$4)^7.75+DCF!L27/(1+C$4)^8.75)+(Assumptions!$C$21*$B6*DCF!L24+(1-Assumptions!$C$21)*DCF!L27*(1+Assumptions!$C$20)/(C$4-Assumptions!$C$20))/(1+C$4)^Assumptions!$C$22-Assumptions!$C$31/1000)*1000/Assumptions!$C$32</f>
        <v>171.14695717607958</v>
      </c>
      <c r="D6" s="49">
        <f>((DCF!C27/(1+D$4)^0.125+DCF!D27/(1+D$4)^0.75+DCF!E27/(1+D$4)^1.75+DCF!F27/(1+D$4)^2.75+DCF!G27/(1+D$4)^3.75+DCF!H27/(1+D$4)^4.75+DCF!I27/(1+D$4)^5.75+DCF!J27/(1+D$4)^6.75+DCF!K27/(1+D$4)^7.75+DCF!L27/(1+D$4)^8.75)+(Assumptions!$C$21*$B6*DCF!L24+(1-Assumptions!$C$21)*DCF!L27*(1+Assumptions!$C$20)/(D$4-Assumptions!$C$20))/(1+D$4)^Assumptions!$C$22-Assumptions!$C$31/1000)*1000/Assumptions!$C$32</f>
        <v>155.68752207919127</v>
      </c>
      <c r="E6" s="49">
        <f>((DCF!C27/(1+E$4)^0.125+DCF!D27/(1+E$4)^0.75+DCF!E27/(1+E$4)^1.75+DCF!F27/(1+E$4)^2.75+DCF!G27/(1+E$4)^3.75+DCF!H27/(1+E$4)^4.75+DCF!I27/(1+E$4)^5.75+DCF!J27/(1+E$4)^6.75+DCF!K27/(1+E$4)^7.75+DCF!L27/(1+E$4)^8.75)+(Assumptions!$C$21*$B6*DCF!L24+(1-Assumptions!$C$21)*DCF!L27*(1+Assumptions!$C$20)/(E$4-Assumptions!$C$20))/(1+E$4)^Assumptions!$C$22-Assumptions!$C$31/1000)*1000/Assumptions!$C$32</f>
        <v>142.38774378967565</v>
      </c>
      <c r="F6" s="49">
        <f>((DCF!C27/(1+F$4)^0.125+DCF!D27/(1+F$4)^0.75+DCF!E27/(1+F$4)^1.75+DCF!F27/(1+F$4)^2.75+DCF!G27/(1+F$4)^3.75+DCF!H27/(1+F$4)^4.75+DCF!I27/(1+F$4)^5.75+DCF!J27/(1+F$4)^6.75+DCF!K27/(1+F$4)^7.75+DCF!L27/(1+F$4)^8.75)+(Assumptions!$C$21*$B6*DCF!L24+(1-Assumptions!$C$21)*DCF!L27*(1+Assumptions!$C$20)/(F$4-Assumptions!$C$20))/(1+F$4)^Assumptions!$C$22-Assumptions!$C$31/1000)*1000/Assumptions!$C$32</f>
        <v>137.56150458759205</v>
      </c>
      <c r="G6" s="49">
        <f>((DCF!C27/(1+G$4)^0.125+DCF!D27/(1+G$4)^0.75+DCF!E27/(1+G$4)^1.75+DCF!F27/(1+G$4)^2.75+DCF!G27/(1+G$4)^3.75+DCF!H27/(1+G$4)^4.75+DCF!I27/(1+G$4)^5.75+DCF!J27/(1+G$4)^6.75+DCF!K27/(1+G$4)^7.75+DCF!L27/(1+G$4)^8.75)+(Assumptions!$C$21*$B6*DCF!L24+(1-Assumptions!$C$21)*DCF!L27*(1+Assumptions!$C$20)/(G$4-Assumptions!$C$20))/(1+G$4)^Assumptions!$C$22-Assumptions!$C$31/1000)*1000/Assumptions!$C$32</f>
        <v>130.77456726443805</v>
      </c>
      <c r="H6" s="49">
        <f>((DCF!C27/(1+H$4)^0.125+DCF!D27/(1+H$4)^0.75+DCF!E27/(1+H$4)^1.75+DCF!F27/(1+H$4)^2.75+DCF!G27/(1+H$4)^3.75+DCF!H27/(1+H$4)^4.75+DCF!I27/(1+H$4)^5.75+DCF!J27/(1+H$4)^6.75+DCF!K27/(1+H$4)^7.75+DCF!L27/(1+H$4)^8.75)+(Assumptions!$C$21*$B6*DCF!L24+(1-Assumptions!$C$21)*DCF!L27*(1+Assumptions!$C$20)/(H$4-Assumptions!$C$20))/(1+H$4)^Assumptions!$C$22-Assumptions!$C$31/1000)*1000/Assumptions!$C$32</f>
        <v>120.50855282383212</v>
      </c>
      <c r="I6" s="49">
        <f>((DCF!C27/(1+I$4)^0.125+DCF!D27/(1+I$4)^0.75+DCF!E27/(1+I$4)^1.75+DCF!F27/(1+I$4)^2.75+DCF!G27/(1+I$4)^3.75+DCF!H27/(1+I$4)^4.75+DCF!I27/(1+I$4)^5.75+DCF!J27/(1+I$4)^6.75+DCF!K27/(1+I$4)^7.75+DCF!L27/(1+I$4)^8.75)+(Assumptions!$C$21*$B6*DCF!L24+(1-Assumptions!$C$21)*DCF!L27*(1+Assumptions!$C$20)/(I$4-Assumptions!$C$20))/(1+I$4)^Assumptions!$C$22-Assumptions!$C$31/1000)*1000/Assumptions!$C$32</f>
        <v>111.33943465487057</v>
      </c>
    </row>
    <row r="7" spans="2:9" x14ac:dyDescent="0.25">
      <c r="B7" s="48">
        <v>9</v>
      </c>
      <c r="C7" s="49">
        <f>((DCF!C27/(1+C$4)^0.125+DCF!D27/(1+C$4)^0.75+DCF!E27/(1+C$4)^1.75+DCF!F27/(1+C$4)^2.75+DCF!G27/(1+C$4)^3.75+DCF!H27/(1+C$4)^4.75+DCF!I27/(1+C$4)^5.75+DCF!J27/(1+C$4)^6.75+DCF!K27/(1+C$4)^7.75+DCF!L27/(1+C$4)^8.75)+(Assumptions!$C$21*$B7*DCF!L24+(1-Assumptions!$C$21)*DCF!L27*(1+Assumptions!$C$20)/(C$4-Assumptions!$C$20))/(1+C$4)^Assumptions!$C$22-Assumptions!$C$31/1000)*1000/Assumptions!$C$32</f>
        <v>178.28202836791107</v>
      </c>
      <c r="D7" s="49">
        <f>((DCF!C27/(1+D$4)^0.125+DCF!D27/(1+D$4)^0.75+DCF!E27/(1+D$4)^1.75+DCF!F27/(1+D$4)^2.75+DCF!G27/(1+D$4)^3.75+DCF!H27/(1+D$4)^4.75+DCF!I27/(1+D$4)^5.75+DCF!J27/(1+D$4)^6.75+DCF!K27/(1+D$4)^7.75+DCF!L27/(1+D$4)^8.75)+(Assumptions!$C$21*$B7*DCF!L24+(1-Assumptions!$C$21)*DCF!L27*(1+Assumptions!$C$20)/(D$4-Assumptions!$C$20))/(1+D$4)^Assumptions!$C$22-Assumptions!$C$31/1000)*1000/Assumptions!$C$32</f>
        <v>162.52281084789325</v>
      </c>
      <c r="E7" s="49">
        <f>((DCF!C27/(1+E$4)^0.125+DCF!D27/(1+E$4)^0.75+DCF!E27/(1+E$4)^1.75+DCF!F27/(1+E$4)^2.75+DCF!G27/(1+E$4)^3.75+DCF!H27/(1+E$4)^4.75+DCF!I27/(1+E$4)^5.75+DCF!J27/(1+E$4)^6.75+DCF!K27/(1+E$4)^7.75+DCF!L27/(1+E$4)^8.75)+(Assumptions!$C$21*$B7*DCF!L24+(1-Assumptions!$C$21)*DCF!L27*(1+Assumptions!$C$20)/(E$4-Assumptions!$C$20))/(1+E$4)^Assumptions!$C$22-Assumptions!$C$31/1000)*1000/Assumptions!$C$32</f>
        <v>148.93714396156307</v>
      </c>
      <c r="F7" s="49">
        <f>((DCF!C27/(1+F$4)^0.125+DCF!D27/(1+F$4)^0.75+DCF!E27/(1+F$4)^1.75+DCF!F27/(1+F$4)^2.75+DCF!G27/(1+F$4)^3.75+DCF!H27/(1+F$4)^4.75+DCF!I27/(1+F$4)^5.75+DCF!J27/(1+F$4)^6.75+DCF!K27/(1+F$4)^7.75+DCF!L27/(1+F$4)^8.75)+(Assumptions!$C$21*$B7*DCF!L24+(1-Assumptions!$C$21)*DCF!L27*(1+Assumptions!$C$20)/(F$4-Assumptions!$C$20))/(1+F$4)^Assumptions!$C$22-Assumptions!$C$31/1000)*1000/Assumptions!$C$32</f>
        <v>144.00028067191292</v>
      </c>
      <c r="G7" s="49">
        <f>((DCF!C27/(1+G$4)^0.125+DCF!D27/(1+G$4)^0.75+DCF!E27/(1+G$4)^1.75+DCF!F27/(1+G$4)^2.75+DCF!G27/(1+G$4)^3.75+DCF!H27/(1+G$4)^4.75+DCF!I27/(1+G$4)^5.75+DCF!J27/(1+G$4)^6.75+DCF!K27/(1+G$4)^7.75+DCF!L27/(1+G$4)^8.75)+(Assumptions!$C$21*$B7*DCF!L24+(1-Assumptions!$C$21)*DCF!L27*(1+Assumptions!$C$20)/(G$4-Assumptions!$C$20))/(1+G$4)^Assumptions!$C$22-Assumptions!$C$31/1000)*1000/Assumptions!$C$32</f>
        <v>137.0512691062201</v>
      </c>
      <c r="H7" s="49">
        <f>((DCF!C27/(1+H$4)^0.125+DCF!D27/(1+H$4)^0.75+DCF!E27/(1+H$4)^1.75+DCF!F27/(1+H$4)^2.75+DCF!G27/(1+H$4)^3.75+DCF!H27/(1+H$4)^4.75+DCF!I27/(1+H$4)^5.75+DCF!J27/(1+H$4)^6.75+DCF!K27/(1+H$4)^7.75+DCF!L27/(1+H$4)^8.75)+(Assumptions!$C$21*$B7*DCF!L24+(1-Assumptions!$C$21)*DCF!L27*(1+Assumptions!$C$20)/(H$4-Assumptions!$C$20))/(1+H$4)^Assumptions!$C$22-Assumptions!$C$31/1000)*1000/Assumptions!$C$32</f>
        <v>126.52508166214818</v>
      </c>
      <c r="I7" s="49">
        <f>((DCF!C27/(1+I$4)^0.125+DCF!D27/(1+I$4)^0.75+DCF!E27/(1+I$4)^1.75+DCF!F27/(1+I$4)^2.75+DCF!G27/(1+I$4)^3.75+DCF!H27/(1+I$4)^4.75+DCF!I27/(1+I$4)^5.75+DCF!J27/(1+I$4)^6.75+DCF!K27/(1+I$4)^7.75+DCF!L27/(1+I$4)^8.75)+(Assumptions!$C$21*$B7*DCF!L24+(1-Assumptions!$C$21)*DCF!L27*(1+Assumptions!$C$20)/(I$4-Assumptions!$C$20))/(1+I$4)^Assumptions!$C$22-Assumptions!$C$31/1000)*1000/Assumptions!$C$32</f>
        <v>117.1076872131445</v>
      </c>
    </row>
    <row r="8" spans="2:9" x14ac:dyDescent="0.25">
      <c r="B8" s="48">
        <v>10</v>
      </c>
      <c r="C8" s="49">
        <f>((DCF!C27/(1+C$4)^0.125+DCF!D27/(1+C$4)^0.75+DCF!E27/(1+C$4)^1.75+DCF!F27/(1+C$4)^2.75+DCF!G27/(1+C$4)^3.75+DCF!H27/(1+C$4)^4.75+DCF!I27/(1+C$4)^5.75+DCF!J27/(1+C$4)^6.75+DCF!K27/(1+C$4)^7.75+DCF!L27/(1+C$4)^8.75)+(Assumptions!$C$21*$B8*DCF!L24+(1-Assumptions!$C$21)*DCF!L27*(1+Assumptions!$C$20)/(C$4-Assumptions!$C$20))/(1+C$4)^Assumptions!$C$22-Assumptions!$C$31/1000)*1000/Assumptions!$C$32</f>
        <v>185.41709955974247</v>
      </c>
      <c r="D8" s="49">
        <f>((DCF!C27/(1+D$4)^0.125+DCF!D27/(1+D$4)^0.75+DCF!E27/(1+D$4)^1.75+DCF!F27/(1+D$4)^2.75+DCF!G27/(1+D$4)^3.75+DCF!H27/(1+D$4)^4.75+DCF!I27/(1+D$4)^5.75+DCF!J27/(1+D$4)^6.75+DCF!K27/(1+D$4)^7.75+DCF!L27/(1+D$4)^8.75)+(Assumptions!$C$21*$B8*DCF!L24+(1-Assumptions!$C$21)*DCF!L27*(1+Assumptions!$C$20)/(D$4-Assumptions!$C$20))/(1+D$4)^Assumptions!$C$22-Assumptions!$C$31/1000)*1000/Assumptions!$C$32</f>
        <v>169.3580996165953</v>
      </c>
      <c r="E8" s="49">
        <f>((DCF!C27/(1+E$4)^0.125+DCF!D27/(1+E$4)^0.75+DCF!E27/(1+E$4)^1.75+DCF!F27/(1+E$4)^2.75+DCF!G27/(1+E$4)^3.75+DCF!H27/(1+E$4)^4.75+DCF!I27/(1+E$4)^5.75+DCF!J27/(1+E$4)^6.75+DCF!K27/(1+E$4)^7.75+DCF!L27/(1+E$4)^8.75)+(Assumptions!$C$21*$B8*DCF!L24+(1-Assumptions!$C$21)*DCF!L27*(1+Assumptions!$C$20)/(E$4-Assumptions!$C$20))/(1+E$4)^Assumptions!$C$22-Assumptions!$C$31/1000)*1000/Assumptions!$C$32</f>
        <v>155.48654413345051</v>
      </c>
      <c r="F8" s="49">
        <f>((DCF!C27/(1+F$4)^0.125+DCF!D27/(1+F$4)^0.75+DCF!E27/(1+F$4)^1.75+DCF!F27/(1+F$4)^2.75+DCF!G27/(1+F$4)^3.75+DCF!H27/(1+F$4)^4.75+DCF!I27/(1+F$4)^5.75+DCF!J27/(1+F$4)^6.75+DCF!K27/(1+F$4)^7.75+DCF!L27/(1+F$4)^8.75)+(Assumptions!$C$21*$B8*DCF!L24+(1-Assumptions!$C$21)*DCF!L27*(1+Assumptions!$C$20)/(F$4-Assumptions!$C$20))/(1+F$4)^Assumptions!$C$22-Assumptions!$C$31/1000)*1000/Assumptions!$C$32</f>
        <v>150.43905675623378</v>
      </c>
      <c r="G8" s="49">
        <f>((DCF!C27/(1+G$4)^0.125+DCF!D27/(1+G$4)^0.75+DCF!E27/(1+G$4)^1.75+DCF!F27/(1+G$4)^2.75+DCF!G27/(1+G$4)^3.75+DCF!H27/(1+G$4)^4.75+DCF!I27/(1+G$4)^5.75+DCF!J27/(1+G$4)^6.75+DCF!K27/(1+G$4)^7.75+DCF!L27/(1+G$4)^8.75)+(Assumptions!$C$21*$B8*DCF!L24+(1-Assumptions!$C$21)*DCF!L27*(1+Assumptions!$C$20)/(G$4-Assumptions!$C$20))/(1+G$4)^Assumptions!$C$22-Assumptions!$C$31/1000)*1000/Assumptions!$C$32</f>
        <v>143.32797094800208</v>
      </c>
      <c r="H8" s="49">
        <f>((DCF!C27/(1+H$4)^0.125+DCF!D27/(1+H$4)^0.75+DCF!E27/(1+H$4)^1.75+DCF!F27/(1+H$4)^2.75+DCF!G27/(1+H$4)^3.75+DCF!H27/(1+H$4)^4.75+DCF!I27/(1+H$4)^5.75+DCF!J27/(1+H$4)^6.75+DCF!K27/(1+H$4)^7.75+DCF!L27/(1+H$4)^8.75)+(Assumptions!$C$21*$B8*DCF!L24+(1-Assumptions!$C$21)*DCF!L27*(1+Assumptions!$C$20)/(H$4-Assumptions!$C$20))/(1+H$4)^Assumptions!$C$22-Assumptions!$C$31/1000)*1000/Assumptions!$C$32</f>
        <v>132.54161050046426</v>
      </c>
      <c r="I8" s="49">
        <f>((DCF!C27/(1+I$4)^0.125+DCF!D27/(1+I$4)^0.75+DCF!E27/(1+I$4)^1.75+DCF!F27/(1+I$4)^2.75+DCF!G27/(1+I$4)^3.75+DCF!H27/(1+I$4)^4.75+DCF!I27/(1+I$4)^5.75+DCF!J27/(1+I$4)^6.75+DCF!K27/(1+I$4)^7.75+DCF!L27/(1+I$4)^8.75)+(Assumptions!$C$21*$B8*DCF!L24+(1-Assumptions!$C$21)*DCF!L27*(1+Assumptions!$C$20)/(I$4-Assumptions!$C$20))/(1+I$4)^Assumptions!$C$22-Assumptions!$C$31/1000)*1000/Assumptions!$C$32</f>
        <v>122.87593977141836</v>
      </c>
    </row>
    <row r="9" spans="2:9" x14ac:dyDescent="0.25">
      <c r="B9" s="48">
        <v>11</v>
      </c>
      <c r="C9" s="49">
        <f>((DCF!C27/(1+C$4)^0.125+DCF!D27/(1+C$4)^0.75+DCF!E27/(1+C$4)^1.75+DCF!F27/(1+C$4)^2.75+DCF!G27/(1+C$4)^3.75+DCF!H27/(1+C$4)^4.75+DCF!I27/(1+C$4)^5.75+DCF!J27/(1+C$4)^6.75+DCF!K27/(1+C$4)^7.75+DCF!L27/(1+C$4)^8.75)+(Assumptions!$C$21*$B9*DCF!L24+(1-Assumptions!$C$21)*DCF!L27*(1+Assumptions!$C$20)/(C$4-Assumptions!$C$20))/(1+C$4)^Assumptions!$C$22-Assumptions!$C$31/1000)*1000/Assumptions!$C$32</f>
        <v>192.55217075157387</v>
      </c>
      <c r="D9" s="49">
        <f>((DCF!C27/(1+D$4)^0.125+DCF!D27/(1+D$4)^0.75+DCF!E27/(1+D$4)^1.75+DCF!F27/(1+D$4)^2.75+DCF!G27/(1+D$4)^3.75+DCF!H27/(1+D$4)^4.75+DCF!I27/(1+D$4)^5.75+DCF!J27/(1+D$4)^6.75+DCF!K27/(1+D$4)^7.75+DCF!L27/(1+D$4)^8.75)+(Assumptions!$C$21*$B9*DCF!L24+(1-Assumptions!$C$21)*DCF!L27*(1+Assumptions!$C$20)/(D$4-Assumptions!$C$20))/(1+D$4)^Assumptions!$C$22-Assumptions!$C$31/1000)*1000/Assumptions!$C$32</f>
        <v>176.19338838529728</v>
      </c>
      <c r="E9" s="49">
        <f>((DCF!C27/(1+E$4)^0.125+DCF!D27/(1+E$4)^0.75+DCF!E27/(1+E$4)^1.75+DCF!F27/(1+E$4)^2.75+DCF!G27/(1+E$4)^3.75+DCF!H27/(1+E$4)^4.75+DCF!I27/(1+E$4)^5.75+DCF!J27/(1+E$4)^6.75+DCF!K27/(1+E$4)^7.75+DCF!L27/(1+E$4)^8.75)+(Assumptions!$C$21*$B9*DCF!L24+(1-Assumptions!$C$21)*DCF!L27*(1+Assumptions!$C$20)/(E$4-Assumptions!$C$20))/(1+E$4)^Assumptions!$C$22-Assumptions!$C$31/1000)*1000/Assumptions!$C$32</f>
        <v>162.03594430533792</v>
      </c>
      <c r="F9" s="49">
        <f>((DCF!C27/(1+F$4)^0.125+DCF!D27/(1+F$4)^0.75+DCF!E27/(1+F$4)^1.75+DCF!F27/(1+F$4)^2.75+DCF!G27/(1+F$4)^3.75+DCF!H27/(1+F$4)^4.75+DCF!I27/(1+F$4)^5.75+DCF!J27/(1+F$4)^6.75+DCF!K27/(1+F$4)^7.75+DCF!L27/(1+F$4)^8.75)+(Assumptions!$C$21*$B9*DCF!L24+(1-Assumptions!$C$21)*DCF!L27*(1+Assumptions!$C$20)/(F$4-Assumptions!$C$20))/(1+F$4)^Assumptions!$C$22-Assumptions!$C$31/1000)*1000/Assumptions!$C$32</f>
        <v>156.87783284055467</v>
      </c>
      <c r="G9" s="49">
        <f>((DCF!C27/(1+G$4)^0.125+DCF!D27/(1+G$4)^0.75+DCF!E27/(1+G$4)^1.75+DCF!F27/(1+G$4)^2.75+DCF!G27/(1+G$4)^3.75+DCF!H27/(1+G$4)^4.75+DCF!I27/(1+G$4)^5.75+DCF!J27/(1+G$4)^6.75+DCF!K27/(1+G$4)^7.75+DCF!L27/(1+G$4)^8.75)+(Assumptions!$C$21*$B9*DCF!L24+(1-Assumptions!$C$21)*DCF!L27*(1+Assumptions!$C$20)/(G$4-Assumptions!$C$20))/(1+G$4)^Assumptions!$C$22-Assumptions!$C$31/1000)*1000/Assumptions!$C$32</f>
        <v>149.6046727897841</v>
      </c>
      <c r="H9" s="49">
        <f>((DCF!C27/(1+H$4)^0.125+DCF!D27/(1+H$4)^0.75+DCF!E27/(1+H$4)^1.75+DCF!F27/(1+H$4)^2.75+DCF!G27/(1+H$4)^3.75+DCF!H27/(1+H$4)^4.75+DCF!I27/(1+H$4)^5.75+DCF!J27/(1+H$4)^6.75+DCF!K27/(1+H$4)^7.75+DCF!L27/(1+H$4)^8.75)+(Assumptions!$C$21*$B9*DCF!L24+(1-Assumptions!$C$21)*DCF!L27*(1+Assumptions!$C$20)/(H$4-Assumptions!$C$20))/(1+H$4)^Assumptions!$C$22-Assumptions!$C$31/1000)*1000/Assumptions!$C$32</f>
        <v>138.55813933878028</v>
      </c>
      <c r="I9" s="49">
        <f>((DCF!C27/(1+I$4)^0.125+DCF!D27/(1+I$4)^0.75+DCF!E27/(1+I$4)^1.75+DCF!F27/(1+I$4)^2.75+DCF!G27/(1+I$4)^3.75+DCF!H27/(1+I$4)^4.75+DCF!I27/(1+I$4)^5.75+DCF!J27/(1+I$4)^6.75+DCF!K27/(1+I$4)^7.75+DCF!L27/(1+I$4)^8.75)+(Assumptions!$C$21*$B9*DCF!L24+(1-Assumptions!$C$21)*DCF!L27*(1+Assumptions!$C$20)/(I$4-Assumptions!$C$20))/(1+I$4)^Assumptions!$C$22-Assumptions!$C$31/1000)*1000/Assumptions!$C$32</f>
        <v>128.6441923296922</v>
      </c>
    </row>
    <row r="11" spans="2:9" x14ac:dyDescent="0.25">
      <c r="B11" s="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Scenarios</vt:lpstr>
      <vt:lpstr>DCF</vt:lpstr>
      <vt:lpstr>Reverse DCF</vt:lpstr>
      <vt:lpstr>Comps</vt:lpstr>
      <vt:lpstr>Statements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Leon</cp:lastModifiedBy>
  <dcterms:created xsi:type="dcterms:W3CDTF">2026-10-26T19:10:33Z</dcterms:created>
  <dcterms:modified xsi:type="dcterms:W3CDTF">2026-10-26T19:10:33Z</dcterms:modified>
</cp:coreProperties>
</file>