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Drivers" sheetId="2" r:id="rId2"/>
    <sheet name="Historicals" sheetId="3" r:id="rId3"/>
    <sheet name="Forecast" sheetId="4" r:id="rId4"/>
    <sheet name="DCF" sheetId="5" r:id="rId5"/>
    <sheet name="LBO" sheetId="6" r:id="rId6"/>
    <sheet name="M&amp;A" sheetId="7" r:id="rId7"/>
    <sheet name="Comps" sheetId="8" r:id="rId8"/>
    <sheet name="Sensitivity" sheetId="9" r:id="rId9"/>
    <sheet name="Football" sheetId="10" r:id="rId10"/>
    <sheet name="Notes" sheetId="11" r:id="rId11"/>
  </sheets>
  <definedNames>
    <definedName name="ib_beta">Drivers!$B$8</definedName>
    <definedName name="ib_cxpct">Drivers!$B$18</definedName>
    <definedName name="ib_dapct">Drivers!$B$17</definedName>
    <definedName name="ib_EBDA1">Forecast!$C$5</definedName>
    <definedName name="ib_EBDA2">Forecast!$D$5</definedName>
    <definedName name="ib_EBDA3">Forecast!$E$5</definedName>
    <definedName name="ib_EBDA4">Forecast!$F$5</definedName>
    <definedName name="ib_EBDA5">Forecast!$G$5</definedName>
    <definedName name="ib_ebmgn">Drivers!$B$16</definedName>
    <definedName name="ib_entrym">Drivers!$B$34</definedName>
    <definedName name="ib_erp">Drivers!$B$24</definedName>
    <definedName name="ib_exitm">Drivers!$B$31</definedName>
    <definedName name="ib_FCF1">Forecast!$C$13</definedName>
    <definedName name="ib_FCF2">Forecast!$D$13</definedName>
    <definedName name="ib_FCF3">Forecast!$E$13</definedName>
    <definedName name="ib_FCF4">Forecast!$F$13</definedName>
    <definedName name="ib_FCF5">Forecast!$G$13</definedName>
    <definedName name="ib_grw1">Drivers!$B$11</definedName>
    <definedName name="ib_grw2">Drivers!$B$12</definedName>
    <definedName name="ib_grw3">Drivers!$B$13</definedName>
    <definedName name="ib_grw4">Drivers!$B$14</definedName>
    <definedName name="ib_grw5">Drivers!$B$15</definedName>
    <definedName name="ib_hold">Drivers!$B$37</definedName>
    <definedName name="ib_kdLBO">Drivers!$B$36</definedName>
    <definedName name="ib_leverage">Drivers!$B$35</definedName>
    <definedName name="ib_netdebt">Drivers!$B$7</definedName>
    <definedName name="ib_nwcpct">Drivers!$B$19</definedName>
    <definedName name="ib_px">Drivers!$B$6</definedName>
    <definedName name="ib_rf">Drivers!$B$23</definedName>
    <definedName name="ib_shares">Drivers!$B$5</definedName>
    <definedName name="ib_spread">Drivers!$B$26</definedName>
    <definedName name="ib_sweep">Drivers!$B$38</definedName>
    <definedName name="ib_tax">Drivers!$B$20</definedName>
    <definedName name="ib_tg">Drivers!$B$30</definedName>
    <definedName name="ib_WACC">DCF!$B$13</definedName>
    <definedName name="ib_wd">Drivers!$B$27</definedName>
  </definedNames>
  <calcPr calcId="124519" fullCalcOnLoad="1"/>
</workbook>
</file>

<file path=xl/sharedStrings.xml><?xml version="1.0" encoding="utf-8"?>
<sst xmlns="http://schemas.openxmlformats.org/spreadsheetml/2006/main" count="358" uniqueCount="297">
  <si>
    <t>Micron Technology, Inc. (MU) — IB Valuation Template</t>
  </si>
  <si>
    <t>Sector</t>
  </si>
  <si>
    <t>Technology</t>
  </si>
  <si>
    <t>Industry</t>
  </si>
  <si>
    <t>Semiconductors</t>
  </si>
  <si>
    <t>Reporting Currency</t>
  </si>
  <si>
    <t>USD</t>
  </si>
  <si>
    <t>Fiscal Year End</t>
  </si>
  <si>
    <t>2025-08-31</t>
  </si>
  <si>
    <t>As-of Date</t>
  </si>
  <si>
    <t>2026-05-01</t>
  </si>
  <si>
    <t>Industry Preset</t>
  </si>
  <si>
    <t>semiconductors</t>
  </si>
  <si>
    <t>How to use this workbook</t>
  </si>
  <si>
    <t>1. Yellow cells on the Drivers tab are editable — every other tab references them.
2. Edit any yellow cell to see the model recalculate live (DCF, LBO, M&amp;A, Sensitivity all update).
3. Numbers in green are model OUTPUTS; do not overwrite.
4. Historicals are pulled from yfinance at the time the notebook ran; refresh by re-running it.
5. The Notes tab lists every place we used a fallback or historical average.
6. To value a different company, open the notebook, change the TICKER cell, and Run All.</t>
  </si>
  <si>
    <t>Headline outputs (linked to model)</t>
  </si>
  <si>
    <t>Current Market Price</t>
  </si>
  <si>
    <t>DCF Implied Price</t>
  </si>
  <si>
    <t>DCF Upside / Downside</t>
  </si>
  <si>
    <t>LBO Sponsor IRR</t>
  </si>
  <si>
    <t>LBO Sponsor MOIC</t>
  </si>
  <si>
    <t>DRIVERS — every yellow cell is editable</t>
  </si>
  <si>
    <t>Company snapshot</t>
  </si>
  <si>
    <t>Ticker</t>
  </si>
  <si>
    <t>MU</t>
  </si>
  <si>
    <t>Shares Outstanding</t>
  </si>
  <si>
    <t>Current Share Price</t>
  </si>
  <si>
    <t>Net Debt (latest)</t>
  </si>
  <si>
    <t>Beta</t>
  </si>
  <si>
    <t>Operating drivers (Forecast tab uses these)</t>
  </si>
  <si>
    <t>Revenue Growth Y1</t>
  </si>
  <si>
    <t>Revenue Growth Y2</t>
  </si>
  <si>
    <t>Revenue Growth Y3</t>
  </si>
  <si>
    <t>Revenue Growth Y4</t>
  </si>
  <si>
    <t>Revenue Growth Y5</t>
  </si>
  <si>
    <t>EBITDA Margin (mid-cycle)</t>
  </si>
  <si>
    <t>5y mid-cycle avg</t>
  </si>
  <si>
    <t>D&amp;A % Revenue</t>
  </si>
  <si>
    <t>Capex % Revenue</t>
  </si>
  <si>
    <t>NWC % Δ Revenue</t>
  </si>
  <si>
    <t>Effective Tax Rate</t>
  </si>
  <si>
    <t>WACC inputs</t>
  </si>
  <si>
    <t>Risk-free rate</t>
  </si>
  <si>
    <t>Equity risk premium</t>
  </si>
  <si>
    <t>Beta (override)</t>
  </si>
  <si>
    <t>Credit spread (bps)</t>
  </si>
  <si>
    <t>Target Debt / EV</t>
  </si>
  <si>
    <t>Terminal value</t>
  </si>
  <si>
    <t>Terminal Growth (Gordon)</t>
  </si>
  <si>
    <t>Exit EBITDA Multiple</t>
  </si>
  <si>
    <t>LBO assumptions</t>
  </si>
  <si>
    <t>Entry EBITDA Multiple</t>
  </si>
  <si>
    <t>Debt / EBITDA at close</t>
  </si>
  <si>
    <t>Cost of LBO debt</t>
  </si>
  <si>
    <t>Hold period (yrs)</t>
  </si>
  <si>
    <t>Cash sweep %</t>
  </si>
  <si>
    <t>M&amp;A assumptions</t>
  </si>
  <si>
    <t>Premium to current price</t>
  </si>
  <si>
    <t>Cost synergies (% target opex)</t>
  </si>
  <si>
    <t>Revenue synergies (% target rev)</t>
  </si>
  <si>
    <t>Synergy realization %</t>
  </si>
  <si>
    <t>Cost of new acquisition debt</t>
  </si>
  <si>
    <t>Historical Financials (sourced: yfinance)</t>
  </si>
  <si>
    <t>Line Item ($ in reporting currency)</t>
  </si>
  <si>
    <t>2021-08-31</t>
  </si>
  <si>
    <t>2022-08-31</t>
  </si>
  <si>
    <t>2023-08-31</t>
  </si>
  <si>
    <t>2024-08-31</t>
  </si>
  <si>
    <t>Revenue</t>
  </si>
  <si>
    <t>YoY Growth %</t>
  </si>
  <si>
    <t>Gross Profit</t>
  </si>
  <si>
    <t>Gross Margin %</t>
  </si>
  <si>
    <t>EBITDA</t>
  </si>
  <si>
    <t>EBITDA Margin %</t>
  </si>
  <si>
    <t>EBIT</t>
  </si>
  <si>
    <t>EBIT Margin %</t>
  </si>
  <si>
    <t>D&amp;A</t>
  </si>
  <si>
    <t>Net Income</t>
  </si>
  <si>
    <t>Net Margin %</t>
  </si>
  <si>
    <t>Diluted EPS</t>
  </si>
  <si>
    <t>Capex</t>
  </si>
  <si>
    <t>Operating Cash Flow</t>
  </si>
  <si>
    <t>OCF % Revenue</t>
  </si>
  <si>
    <t>Free Cash Flow</t>
  </si>
  <si>
    <t>FCF Margin %</t>
  </si>
  <si>
    <t>Total Debt</t>
  </si>
  <si>
    <t>Cash</t>
  </si>
  <si>
    <t>Net Debt</t>
  </si>
  <si>
    <t>Net Debt / EBITDA</t>
  </si>
  <si>
    <t>Total Equity</t>
  </si>
  <si>
    <t>ROE %</t>
  </si>
  <si>
    <t>ROIC %</t>
  </si>
  <si>
    <t>Working Capital</t>
  </si>
  <si>
    <t>NWC % Revenue</t>
  </si>
  <si>
    <t>5-Year Operating Forecast (formulas link to Drivers)</t>
  </si>
  <si>
    <t>Line Item</t>
  </si>
  <si>
    <t>FY2025 (Actual)</t>
  </si>
  <si>
    <t>FY2026E</t>
  </si>
  <si>
    <t>FY2027E</t>
  </si>
  <si>
    <t>FY2028E</t>
  </si>
  <si>
    <t>FY2029E</t>
  </si>
  <si>
    <t>FY2030E</t>
  </si>
  <si>
    <t>Cash Taxes</t>
  </si>
  <si>
    <t>NOPAT</t>
  </si>
  <si>
    <t>Δ Net Working Capital</t>
  </si>
  <si>
    <t>Unlevered FCF</t>
  </si>
  <si>
    <t>DCF Valuation (formulas only)</t>
  </si>
  <si>
    <t>WACC Build</t>
  </si>
  <si>
    <t>Cost of Equity</t>
  </si>
  <si>
    <t>Pre-tax cost of debt</t>
  </si>
  <si>
    <t>Tax rate</t>
  </si>
  <si>
    <t>After-tax cost of debt</t>
  </si>
  <si>
    <t>Weight of debt</t>
  </si>
  <si>
    <t>Weight of equity</t>
  </si>
  <si>
    <t>WACC</t>
  </si>
  <si>
    <t>Year</t>
  </si>
  <si>
    <t>Discount Factor</t>
  </si>
  <si>
    <t>PV of FCF</t>
  </si>
  <si>
    <t>Sum of PV (explicit period)</t>
  </si>
  <si>
    <t>Terminal FCF (Y5)</t>
  </si>
  <si>
    <t>Terminal Value — Gordon</t>
  </si>
  <si>
    <t>Terminal Value — Exit Mult</t>
  </si>
  <si>
    <t>Terminal Value — Blended</t>
  </si>
  <si>
    <t>PV of Terminal (blended)</t>
  </si>
  <si>
    <t>Enterprise Value</t>
  </si>
  <si>
    <t>Less: Net Debt</t>
  </si>
  <si>
    <t>Equity Value</t>
  </si>
  <si>
    <t>Diluted Shares Out</t>
  </si>
  <si>
    <t>Implied Price</t>
  </si>
  <si>
    <t>Current Price</t>
  </si>
  <si>
    <t>Upside / (Downside)</t>
  </si>
  <si>
    <t>Method comparison</t>
  </si>
  <si>
    <t>Method</t>
  </si>
  <si>
    <t>EV</t>
  </si>
  <si>
    <t>Equity</t>
  </si>
  <si>
    <t>Implied Px</t>
  </si>
  <si>
    <t>Upside %</t>
  </si>
  <si>
    <t>Gordon Growth</t>
  </si>
  <si>
    <t>Exit Multiple</t>
  </si>
  <si>
    <t>Blended (50/50)</t>
  </si>
  <si>
    <t>Headline DCF Px</t>
  </si>
  <si>
    <t>LBO Model — Sources &amp; Uses, Debt Schedule, Returns</t>
  </si>
  <si>
    <t>Sources</t>
  </si>
  <si>
    <t>Source</t>
  </si>
  <si>
    <t>$ Amount</t>
  </si>
  <si>
    <t>% of total</t>
  </si>
  <si>
    <t>New Term Debt</t>
  </si>
  <si>
    <t>Sponsor Equity</t>
  </si>
  <si>
    <t>Total Sources</t>
  </si>
  <si>
    <t>Uses</t>
  </si>
  <si>
    <t>Use</t>
  </si>
  <si>
    <t>Transaction Fees (2% of EV)</t>
  </si>
  <si>
    <t>Equity Purchase Price (incl. NetDebt assumption)</t>
  </si>
  <si>
    <t>Total Uses</t>
  </si>
  <si>
    <t>Debt schedule</t>
  </si>
  <si>
    <t>Y1</t>
  </si>
  <si>
    <t>Y2</t>
  </si>
  <si>
    <t>Y3</t>
  </si>
  <si>
    <t>Y4</t>
  </si>
  <si>
    <t>Y5</t>
  </si>
  <si>
    <t>Beginning Debt</t>
  </si>
  <si>
    <t>Mandatory Amortization (1%)</t>
  </si>
  <si>
    <t>Cash Interest</t>
  </si>
  <si>
    <t>Less: Cash Taxes</t>
  </si>
  <si>
    <t>Less: Capex</t>
  </si>
  <si>
    <t>Less: Δ NWC</t>
  </si>
  <si>
    <t>CFADS for Debt Paydown</t>
  </si>
  <si>
    <t>Cash Sweep</t>
  </si>
  <si>
    <t>Ending Debt</t>
  </si>
  <si>
    <t>Interest Coverage</t>
  </si>
  <si>
    <t>Sponsor Returns</t>
  </si>
  <si>
    <t>Exit Year EBITDA</t>
  </si>
  <si>
    <t>Exit Enterprise Value</t>
  </si>
  <si>
    <t>Less: Exit Debt</t>
  </si>
  <si>
    <t>Plus: Cumulative Retained FCF</t>
  </si>
  <si>
    <t>Equity to Sponsor at Exit</t>
  </si>
  <si>
    <t>Sponsor Equity Invested</t>
  </si>
  <si>
    <t>MOIC</t>
  </si>
  <si>
    <t>Hold Period</t>
  </si>
  <si>
    <t>IRR</t>
  </si>
  <si>
    <t>MOIC (linked)</t>
  </si>
  <si>
    <t>M&amp;A Accretion / Dilution</t>
  </si>
  <si>
    <t>Transaction summary</t>
  </si>
  <si>
    <t>Target Current Price</t>
  </si>
  <si>
    <t>Premium %</t>
  </si>
  <si>
    <t>Offer Price/Share</t>
  </si>
  <si>
    <t>Target Shares Outstanding</t>
  </si>
  <si>
    <t>Equity Purchase Price</t>
  </si>
  <si>
    <t>Target Net Debt Assumed</t>
  </si>
  <si>
    <t>Deal Fees</t>
  </si>
  <si>
    <t>Total Deal Value</t>
  </si>
  <si>
    <t>Pro-forma EPS by financing mix</t>
  </si>
  <si>
    <t>Metric</t>
  </si>
  <si>
    <t>All Stock</t>
  </si>
  <si>
    <t>All Cash</t>
  </si>
  <si>
    <t>50/50 Mix</t>
  </si>
  <si>
    <t>Stock %</t>
  </si>
  <si>
    <t>Cash %</t>
  </si>
  <si>
    <t>New Shares Issued</t>
  </si>
  <si>
    <t>New Debt Raised</t>
  </si>
  <si>
    <t>After-tax Interest</t>
  </si>
  <si>
    <t>Synergies (after-tax)</t>
  </si>
  <si>
    <t>Pro-forma Net Income</t>
  </si>
  <si>
    <t>Pro-forma Shares</t>
  </si>
  <si>
    <t>Pro-forma EPS</t>
  </si>
  <si>
    <t>Acquirer Standalone EPS</t>
  </si>
  <si>
    <t>Accretion / (Dilution) %</t>
  </si>
  <si>
    <t>Comparable Company Analysis</t>
  </si>
  <si>
    <t>Subject + Peer set</t>
  </si>
  <si>
    <t>Name</t>
  </si>
  <si>
    <t>Price</t>
  </si>
  <si>
    <t>Market Cap</t>
  </si>
  <si>
    <t>Book Value</t>
  </si>
  <si>
    <t>EV/Revenue</t>
  </si>
  <si>
    <t>EV/EBITDA</t>
  </si>
  <si>
    <t>P/E</t>
  </si>
  <si>
    <t>P/B</t>
  </si>
  <si>
    <t>Micron Technology, Inc.</t>
  </si>
  <si>
    <t>WDC</t>
  </si>
  <si>
    <t>Western Digital</t>
  </si>
  <si>
    <t>STX</t>
  </si>
  <si>
    <t>Seagate Technology</t>
  </si>
  <si>
    <t>NVDA</t>
  </si>
  <si>
    <t>NVIDIA</t>
  </si>
  <si>
    <t>TSM</t>
  </si>
  <si>
    <t>Taiwan Semiconductor</t>
  </si>
  <si>
    <t>AVGO</t>
  </si>
  <si>
    <t>Broadcom</t>
  </si>
  <si>
    <t>INTC</t>
  </si>
  <si>
    <t>Intel</t>
  </si>
  <si>
    <t>AMD</t>
  </si>
  <si>
    <t>Peer-set statistics</t>
  </si>
  <si>
    <t>Multiple</t>
  </si>
  <si>
    <t>Min</t>
  </si>
  <si>
    <t>25th %ile</t>
  </si>
  <si>
    <t>Median</t>
  </si>
  <si>
    <t>Mean</t>
  </si>
  <si>
    <t>75th %ile</t>
  </si>
  <si>
    <t>Max</t>
  </si>
  <si>
    <t>Implied valuation (peer median × subject metric)</t>
  </si>
  <si>
    <t>Multiple Source</t>
  </si>
  <si>
    <t>Implied EV / Equity</t>
  </si>
  <si>
    <t>Implied Equity Value</t>
  </si>
  <si>
    <t>Implied Price/Share</t>
  </si>
  <si>
    <t>Peer median × Revenue</t>
  </si>
  <si>
    <t>Peer median × EBITDA</t>
  </si>
  <si>
    <t>Peer median × EPS</t>
  </si>
  <si>
    <t>Peer median × Book Value</t>
  </si>
  <si>
    <t>Sensitivity Tables</t>
  </si>
  <si>
    <t>DCF — Implied Price (WACC × Terminal Growth)</t>
  </si>
  <si>
    <t>WACC \ Terminal g</t>
  </si>
  <si>
    <t>2.00%</t>
  </si>
  <si>
    <t>2.25%</t>
  </si>
  <si>
    <t>2.50%</t>
  </si>
  <si>
    <t>2.75%</t>
  </si>
  <si>
    <t>3.00%</t>
  </si>
  <si>
    <t>8.81%</t>
  </si>
  <si>
    <t>9.31%</t>
  </si>
  <si>
    <t>9.81%</t>
  </si>
  <si>
    <t>10.31%</t>
  </si>
  <si>
    <t>10.81%</t>
  </si>
  <si>
    <t>LBO — Sponsor IRR (Entry × Exit multiple)</t>
  </si>
  <si>
    <t>Entry × Exit</t>
  </si>
  <si>
    <t>7.0x</t>
  </si>
  <si>
    <t>7.5x</t>
  </si>
  <si>
    <t>8.0x</t>
  </si>
  <si>
    <t>8.5x</t>
  </si>
  <si>
    <t>9.0x</t>
  </si>
  <si>
    <t>M&amp;A — Y1 Accretion (Premium × Cost-Synergy)</t>
  </si>
  <si>
    <t>Premium \ Cost Synergy %</t>
  </si>
  <si>
    <t>3.0%</t>
  </si>
  <si>
    <t>4.0%</t>
  </si>
  <si>
    <t>5.0%</t>
  </si>
  <si>
    <t>6.0%</t>
  </si>
  <si>
    <t>7.0%</t>
  </si>
  <si>
    <t>20%</t>
  </si>
  <si>
    <t>25%</t>
  </si>
  <si>
    <t>30%</t>
  </si>
  <si>
    <t>35%</t>
  </si>
  <si>
    <t>40%</t>
  </si>
  <si>
    <t>Football Field — Implied Equity Value Range</t>
  </si>
  <si>
    <t>Low</t>
  </si>
  <si>
    <t>Mid</t>
  </si>
  <si>
    <t>High</t>
  </si>
  <si>
    <t>Notes</t>
  </si>
  <si>
    <t>52-week trading range</t>
  </si>
  <si>
    <t>From price history</t>
  </si>
  <si>
    <t>DCF (±5% WACC band)</t>
  </si>
  <si>
    <t>Driven by WACC ±50 bps</t>
  </si>
  <si>
    <t>Comps EV/EBITDA range</t>
  </si>
  <si>
    <t>Peer median × subject EBITDA, ±15%</t>
  </si>
  <si>
    <t>LBO entry @ target IRR</t>
  </si>
  <si>
    <t>Entry multiple from preset</t>
  </si>
  <si>
    <t>Current price (reference)</t>
  </si>
  <si>
    <t>Audit Trail — every fallback, derivation, or assumption</t>
  </si>
  <si>
    <t>Each line below was logged automatically when the data didn't exist or when an industry-preset assumption was used.</t>
  </si>
  <si>
    <t>[18:56:15] EBITDA margin set to 5y mid-cycle avg = 32.3%.</t>
  </si>
</sst>
</file>

<file path=xl/styles.xml><?xml version="1.0" encoding="utf-8"?>
<styleSheet xmlns="http://schemas.openxmlformats.org/spreadsheetml/2006/main">
  <numFmts count="8">
    <numFmt numFmtId="164" formatCode="_($* #,##0.0,,,_);_($* (#,##0.0,,,);_($* &quot;-&quot;??_);_(@_)"/>
    <numFmt numFmtId="165" formatCode="0.0%"/>
    <numFmt numFmtId="166" formatCode="0.00&quot;x&quot;"/>
    <numFmt numFmtId="167" formatCode="#,##0"/>
    <numFmt numFmtId="168" formatCode="0.00"/>
    <numFmt numFmtId="169" formatCode="0.00%"/>
    <numFmt numFmtId="170" formatCode="#,##0,,"/>
    <numFmt numFmtId="171" formatCode="#,##0.00"/>
  </numFmts>
  <fonts count="8">
    <font>
      <sz val="11"/>
      <color theme="1"/>
      <name val="Calibri"/>
      <family val="2"/>
      <scheme val="minor"/>
    </font>
    <font>
      <b/>
      <sz val="16"/>
      <color rgb="FF0B3D9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0B3D91"/>
      <name val="Calibri"/>
      <family val="2"/>
      <scheme val="minor"/>
    </font>
    <font>
      <b/>
      <sz val="11"/>
      <color rgb="FF0B3D9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B3D9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3" borderId="1" xfId="0" applyFont="1" applyFill="1" applyBorder="1" applyAlignment="1">
      <alignment horizontal="left"/>
    </xf>
    <xf numFmtId="167" fontId="6" fillId="4" borderId="1" xfId="0" applyNumberFormat="1" applyFont="1" applyFill="1" applyBorder="1"/>
    <xf numFmtId="168" fontId="6" fillId="4" borderId="1" xfId="0" applyNumberFormat="1" applyFont="1" applyFill="1" applyBorder="1"/>
    <xf numFmtId="169" fontId="6" fillId="4" borderId="1" xfId="0" applyNumberFormat="1" applyFont="1" applyFill="1" applyBorder="1"/>
    <xf numFmtId="169" fontId="0" fillId="0" borderId="0" xfId="0" applyNumberFormat="1"/>
    <xf numFmtId="0" fontId="2" fillId="5" borderId="1" xfId="0" applyFont="1" applyFill="1" applyBorder="1" applyAlignment="1">
      <alignment horizontal="center"/>
    </xf>
    <xf numFmtId="170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 indent="1"/>
    </xf>
    <xf numFmtId="0" fontId="7" fillId="0" borderId="0" xfId="0" applyFont="1"/>
    <xf numFmtId="171" fontId="0" fillId="0" borderId="0" xfId="0" applyNumberFormat="1"/>
    <xf numFmtId="169" fontId="2" fillId="6" borderId="1" xfId="0" applyNumberFormat="1" applyFont="1" applyFill="1" applyBorder="1"/>
    <xf numFmtId="171" fontId="2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Football Field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Low → Mid</c:v>
          </c:tx>
          <c:spPr>
            <a:solidFill>
              <a:srgbClr val="FFFFFF">
                <a:alpha val="0"/>
              </a:srgbClr>
            </a:solidFill>
          </c:spPr>
          <c:cat>
            <c:strRef>
              <c:f>Football!$A$4:$A$7</c:f>
              <c:strCache>
                <c:ptCount val="4"/>
                <c:pt idx="0">
                  <c:v>52-week trading range</c:v>
                </c:pt>
                <c:pt idx="1">
                  <c:v>DCF (±5% WACC band)</c:v>
                </c:pt>
                <c:pt idx="2">
                  <c:v>Comps EV/EBITDA range</c:v>
                </c:pt>
                <c:pt idx="3">
                  <c:v>LBO entry @ target IRR</c:v>
                </c:pt>
              </c:strCache>
            </c:strRef>
          </c:cat>
          <c:val>
            <c:numRef>
              <c:f>Football!$B$4:$B$7</c:f>
              <c:numCache>
                <c:formatCode>General</c:formatCode>
                <c:ptCount val="4"/>
                <c:pt idx="0">
                  <c:v>56.34361163940462</c:v>
                </c:pt>
                <c:pt idx="1">
                  <c:v>50.85177805742208</c:v>
                </c:pt>
                <c:pt idx="2">
                  <c:v>238.5800382653061</c:v>
                </c:pt>
                <c:pt idx="3">
                  <c:v>93.37552168780064</c:v>
                </c:pt>
              </c:numCache>
            </c:numRef>
          </c:val>
        </c:ser>
        <c:ser>
          <c:idx val="1"/>
          <c:order val="1"/>
          <c:tx>
            <c:v>Mid → High</c:v>
          </c:tx>
          <c:spPr>
            <a:solidFill>
              <a:srgbClr val="0B3D91"/>
            </a:solidFill>
          </c:spPr>
          <c:cat>
            <c:strRef>
              <c:f>Football!$A$4:$A$7</c:f>
              <c:strCache>
                <c:ptCount val="4"/>
                <c:pt idx="0">
                  <c:v>52-week trading range</c:v>
                </c:pt>
                <c:pt idx="1">
                  <c:v>DCF (±5% WACC band)</c:v>
                </c:pt>
                <c:pt idx="2">
                  <c:v>Comps EV/EBITDA range</c:v>
                </c:pt>
                <c:pt idx="3">
                  <c:v>LBO entry @ target IRR</c:v>
                </c:pt>
              </c:strCache>
            </c:strRef>
          </c:cat>
          <c:val>
            <c:numRef>
              <c:f>Football!$D$4:$D$7</c:f>
              <c:numCache>
                <c:formatCode>General</c:formatCode>
                <c:ptCount val="4"/>
                <c:pt idx="0">
                  <c:v>127.8868910254921</c:v>
                </c:pt>
                <c:pt idx="1">
                  <c:v>68.79946443062987</c:v>
                </c:pt>
                <c:pt idx="2">
                  <c:v>322.7847576530612</c:v>
                </c:pt>
                <c:pt idx="3">
                  <c:v>103.204523970727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Methodology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Implied Price/Share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28.7109375" customWidth="1"/>
    <col min="2" max="2" width="60.7109375" customWidth="1"/>
  </cols>
  <sheetData>
    <row r="1" spans="1:2">
      <c r="A1" s="1" t="s">
        <v>0</v>
      </c>
      <c r="B1" s="1"/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5" spans="1:2">
      <c r="A5" s="2" t="s">
        <v>5</v>
      </c>
      <c r="B5" t="s">
        <v>6</v>
      </c>
    </row>
    <row r="6" spans="1:2">
      <c r="A6" s="2" t="s">
        <v>7</v>
      </c>
      <c r="B6" t="s">
        <v>8</v>
      </c>
    </row>
    <row r="7" spans="1:2">
      <c r="A7" s="2" t="s">
        <v>9</v>
      </c>
      <c r="B7" t="s">
        <v>10</v>
      </c>
    </row>
    <row r="8" spans="1:2">
      <c r="A8" s="2" t="s">
        <v>11</v>
      </c>
      <c r="B8" t="s">
        <v>12</v>
      </c>
    </row>
    <row r="10" spans="1:2">
      <c r="A10" s="3" t="s">
        <v>13</v>
      </c>
      <c r="B10" s="3"/>
    </row>
    <row r="11" spans="1:2">
      <c r="A11" s="4" t="s">
        <v>14</v>
      </c>
      <c r="B11" s="4"/>
    </row>
    <row r="12" spans="1:2">
      <c r="A12" s="4"/>
      <c r="B12" s="4"/>
    </row>
    <row r="13" spans="1:2">
      <c r="A13" s="4"/>
      <c r="B13" s="4"/>
    </row>
    <row r="14" spans="1:2">
      <c r="A14" s="4"/>
      <c r="B14" s="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9" spans="1:2">
      <c r="A19" s="3" t="s">
        <v>15</v>
      </c>
      <c r="B19" s="3"/>
    </row>
    <row r="20" spans="1:2">
      <c r="A20" s="2" t="s">
        <v>16</v>
      </c>
      <c r="B20" s="5">
        <f>Drivers!B6</f>
        <v>0</v>
      </c>
    </row>
    <row r="21" spans="1:2">
      <c r="A21" s="2" t="s">
        <v>17</v>
      </c>
      <c r="B21" s="5">
        <f>DCF!B40</f>
        <v>0</v>
      </c>
    </row>
    <row r="22" spans="1:2">
      <c r="A22" s="2" t="s">
        <v>18</v>
      </c>
      <c r="B22" s="6">
        <f>B21/B20-1</f>
        <v>0</v>
      </c>
    </row>
    <row r="23" spans="1:2">
      <c r="A23" s="2" t="s">
        <v>19</v>
      </c>
      <c r="B23" s="6">
        <f>LBO!B40</f>
        <v>0</v>
      </c>
    </row>
    <row r="24" spans="1:2">
      <c r="A24" s="2" t="s">
        <v>20</v>
      </c>
      <c r="B24" s="7">
        <f>LBO!B41</f>
        <v>0</v>
      </c>
    </row>
  </sheetData>
  <mergeCells count="4">
    <mergeCell ref="A1:B1"/>
    <mergeCell ref="A10:B10"/>
    <mergeCell ref="A11:B17"/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cols>
    <col min="1" max="1" width="38.7109375" customWidth="1"/>
    <col min="2" max="2" width="16.7109375" customWidth="1"/>
    <col min="3" max="3" width="60.7109375" customWidth="1"/>
  </cols>
  <sheetData>
    <row r="1" spans="1:3">
      <c r="A1" s="8" t="s">
        <v>21</v>
      </c>
      <c r="B1" s="8"/>
      <c r="C1" s="8"/>
    </row>
    <row r="3" spans="1:3">
      <c r="A3" s="3" t="s">
        <v>22</v>
      </c>
      <c r="B3" s="3"/>
      <c r="C3" s="3"/>
    </row>
    <row r="4" spans="1:3">
      <c r="A4" s="2" t="s">
        <v>23</v>
      </c>
      <c r="B4" s="9" t="s">
        <v>24</v>
      </c>
    </row>
    <row r="5" spans="1:3">
      <c r="A5" s="2" t="s">
        <v>25</v>
      </c>
      <c r="B5" s="9">
        <v>1120000000</v>
      </c>
    </row>
    <row r="6" spans="1:3">
      <c r="A6" s="2" t="s">
        <v>26</v>
      </c>
      <c r="B6" s="10">
        <v>108.45</v>
      </c>
    </row>
    <row r="7" spans="1:3">
      <c r="A7" s="2" t="s">
        <v>27</v>
      </c>
      <c r="B7" s="5">
        <v>3850000000</v>
      </c>
    </row>
    <row r="8" spans="1:3">
      <c r="A8" s="2" t="s">
        <v>28</v>
      </c>
      <c r="B8" s="10">
        <v>1.27</v>
      </c>
    </row>
    <row r="10" spans="1:3">
      <c r="A10" s="3" t="s">
        <v>29</v>
      </c>
      <c r="B10" s="3"/>
      <c r="C10" s="3"/>
    </row>
    <row r="11" spans="1:3">
      <c r="A11" s="2" t="s">
        <v>30</v>
      </c>
      <c r="B11" s="11">
        <v>0.2</v>
      </c>
    </row>
    <row r="12" spans="1:3">
      <c r="A12" s="2" t="s">
        <v>31</v>
      </c>
      <c r="B12" s="11">
        <v>0.1</v>
      </c>
    </row>
    <row r="13" spans="1:3">
      <c r="A13" s="2" t="s">
        <v>32</v>
      </c>
      <c r="B13" s="11">
        <v>0.05</v>
      </c>
    </row>
    <row r="14" spans="1:3">
      <c r="A14" s="2" t="s">
        <v>33</v>
      </c>
      <c r="B14" s="11">
        <v>0.04</v>
      </c>
    </row>
    <row r="15" spans="1:3">
      <c r="A15" s="2" t="s">
        <v>34</v>
      </c>
      <c r="B15" s="11">
        <v>0.03</v>
      </c>
    </row>
    <row r="16" spans="1:3">
      <c r="A16" s="2" t="s">
        <v>35</v>
      </c>
      <c r="B16" s="11">
        <v>0.3230188543684727</v>
      </c>
      <c r="C16" s="4" t="s">
        <v>36</v>
      </c>
    </row>
    <row r="17" spans="1:3">
      <c r="A17" s="2" t="s">
        <v>37</v>
      </c>
      <c r="B17" s="11">
        <v>0.15</v>
      </c>
    </row>
    <row r="18" spans="1:3">
      <c r="A18" s="2" t="s">
        <v>38</v>
      </c>
      <c r="B18" s="11">
        <v>0.22</v>
      </c>
    </row>
    <row r="19" spans="1:3">
      <c r="A19" s="2" t="s">
        <v>39</v>
      </c>
      <c r="B19" s="11">
        <v>0.18</v>
      </c>
    </row>
    <row r="20" spans="1:3">
      <c r="A20" s="2" t="s">
        <v>40</v>
      </c>
      <c r="B20" s="11">
        <v>0.15</v>
      </c>
    </row>
    <row r="22" spans="1:3">
      <c r="A22" s="3" t="s">
        <v>41</v>
      </c>
      <c r="B22" s="3"/>
      <c r="C22" s="3"/>
    </row>
    <row r="23" spans="1:3">
      <c r="A23" s="2" t="s">
        <v>42</v>
      </c>
      <c r="B23" s="11">
        <v>0.04</v>
      </c>
    </row>
    <row r="24" spans="1:3">
      <c r="A24" s="2" t="s">
        <v>43</v>
      </c>
      <c r="B24" s="11">
        <v>0.055</v>
      </c>
    </row>
    <row r="25" spans="1:3">
      <c r="A25" s="2" t="s">
        <v>44</v>
      </c>
      <c r="B25" s="12">
        <f>B8</f>
        <v>0</v>
      </c>
    </row>
    <row r="26" spans="1:3">
      <c r="A26" s="2" t="s">
        <v>45</v>
      </c>
      <c r="B26" s="9">
        <v>200</v>
      </c>
    </row>
    <row r="27" spans="1:3">
      <c r="A27" s="2" t="s">
        <v>46</v>
      </c>
      <c r="B27" s="11">
        <v>0.2</v>
      </c>
    </row>
    <row r="29" spans="1:3">
      <c r="A29" s="3" t="s">
        <v>47</v>
      </c>
      <c r="B29" s="3"/>
      <c r="C29" s="3"/>
    </row>
    <row r="30" spans="1:3">
      <c r="A30" s="2" t="s">
        <v>48</v>
      </c>
      <c r="B30" s="11">
        <v>0.025</v>
      </c>
    </row>
    <row r="31" spans="1:3">
      <c r="A31" s="2" t="s">
        <v>49</v>
      </c>
      <c r="B31" s="10">
        <v>8</v>
      </c>
    </row>
    <row r="33" spans="1:3">
      <c r="A33" s="3" t="s">
        <v>50</v>
      </c>
      <c r="B33" s="3"/>
      <c r="C33" s="3"/>
    </row>
    <row r="34" spans="1:3">
      <c r="A34" s="2" t="s">
        <v>51</v>
      </c>
      <c r="B34" s="10">
        <v>8</v>
      </c>
    </row>
    <row r="35" spans="1:3">
      <c r="A35" s="2" t="s">
        <v>52</v>
      </c>
      <c r="B35" s="10">
        <v>4.5</v>
      </c>
    </row>
    <row r="36" spans="1:3">
      <c r="A36" s="2" t="s">
        <v>53</v>
      </c>
      <c r="B36" s="11">
        <v>0.08500000000000001</v>
      </c>
    </row>
    <row r="37" spans="1:3">
      <c r="A37" s="2" t="s">
        <v>54</v>
      </c>
      <c r="B37" s="9">
        <v>5</v>
      </c>
    </row>
    <row r="38" spans="1:3">
      <c r="A38" s="2" t="s">
        <v>55</v>
      </c>
      <c r="B38" s="11">
        <v>0.75</v>
      </c>
    </row>
    <row r="40" spans="1:3">
      <c r="A40" s="3" t="s">
        <v>56</v>
      </c>
      <c r="B40" s="3"/>
      <c r="C40" s="3"/>
    </row>
    <row r="41" spans="1:3">
      <c r="A41" s="2" t="s">
        <v>57</v>
      </c>
      <c r="B41" s="11">
        <v>0.3</v>
      </c>
    </row>
    <row r="42" spans="1:3">
      <c r="A42" s="2" t="s">
        <v>58</v>
      </c>
      <c r="B42" s="11">
        <v>0.05</v>
      </c>
    </row>
    <row r="43" spans="1:3">
      <c r="A43" s="2" t="s">
        <v>59</v>
      </c>
      <c r="B43" s="11">
        <v>0.02</v>
      </c>
    </row>
    <row r="44" spans="1:3">
      <c r="A44" s="2" t="s">
        <v>60</v>
      </c>
      <c r="B44" s="11">
        <v>0.75</v>
      </c>
    </row>
    <row r="45" spans="1:3">
      <c r="A45" s="2" t="s">
        <v>61</v>
      </c>
      <c r="B45" s="11">
        <v>0.07000000000000001</v>
      </c>
    </row>
  </sheetData>
  <mergeCells count="7">
    <mergeCell ref="A1:C1"/>
    <mergeCell ref="A3:C3"/>
    <mergeCell ref="A10:C10"/>
    <mergeCell ref="A22:C22"/>
    <mergeCell ref="A29:C29"/>
    <mergeCell ref="A33:C33"/>
    <mergeCell ref="A40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cols>
    <col min="1" max="1" width="32.7109375" customWidth="1"/>
    <col min="2" max="7" width="16.7109375" customWidth="1"/>
  </cols>
  <sheetData>
    <row r="1" spans="1:7">
      <c r="A1" s="8" t="s">
        <v>62</v>
      </c>
      <c r="B1" s="8"/>
      <c r="C1" s="8"/>
      <c r="D1" s="8"/>
      <c r="E1" s="8"/>
      <c r="F1" s="8"/>
      <c r="G1" s="8"/>
    </row>
    <row r="2" spans="1:7">
      <c r="A2" s="13" t="s">
        <v>63</v>
      </c>
      <c r="B2" s="13" t="s">
        <v>64</v>
      </c>
      <c r="C2" s="13" t="s">
        <v>65</v>
      </c>
      <c r="D2" s="13" t="s">
        <v>66</v>
      </c>
      <c r="E2" s="13" t="s">
        <v>67</v>
      </c>
      <c r="F2" s="13" t="s">
        <v>8</v>
      </c>
    </row>
    <row r="3" spans="1:7">
      <c r="A3" s="2" t="s">
        <v>68</v>
      </c>
      <c r="B3" s="14">
        <v>27705000000</v>
      </c>
      <c r="C3" s="14">
        <v>30758000000</v>
      </c>
      <c r="D3" s="14">
        <v>15540000000</v>
      </c>
      <c r="E3" s="14">
        <v>25111000000</v>
      </c>
      <c r="F3" s="14">
        <v>35500000000</v>
      </c>
    </row>
    <row r="4" spans="1:7">
      <c r="A4" s="2" t="s">
        <v>69</v>
      </c>
      <c r="B4" s="15"/>
      <c r="C4" s="6">
        <v>0.1101967153943331</v>
      </c>
      <c r="D4" s="6">
        <v>-0.4947655894401457</v>
      </c>
      <c r="E4" s="6">
        <v>0.6158944658944658</v>
      </c>
      <c r="F4" s="6">
        <v>0.4137230695711043</v>
      </c>
    </row>
    <row r="5" spans="1:7">
      <c r="A5" s="2" t="s">
        <v>70</v>
      </c>
      <c r="B5" s="14">
        <v>8533000000</v>
      </c>
      <c r="C5" s="14">
        <v>11740000000</v>
      </c>
      <c r="D5" s="14">
        <v>-1416000000</v>
      </c>
      <c r="E5" s="14">
        <v>5611000000</v>
      </c>
      <c r="F5" s="14">
        <v>13500000000</v>
      </c>
    </row>
    <row r="6" spans="1:7">
      <c r="A6" s="2" t="s">
        <v>71</v>
      </c>
      <c r="B6" s="6">
        <v>0.3079949467605125</v>
      </c>
      <c r="C6" s="6">
        <v>0.3816893166005592</v>
      </c>
      <c r="D6" s="6">
        <v>-0.09111969111969112</v>
      </c>
      <c r="E6" s="6">
        <v>0.2234478913623511</v>
      </c>
      <c r="F6" s="6">
        <v>0.3802816901408451</v>
      </c>
    </row>
    <row r="7" spans="1:7">
      <c r="A7" s="2" t="s">
        <v>72</v>
      </c>
      <c r="B7" s="14">
        <v>13487000000</v>
      </c>
      <c r="C7" s="14">
        <v>13611000000</v>
      </c>
      <c r="D7" s="14">
        <v>-1950000000</v>
      </c>
      <c r="E7" s="14">
        <v>8700000000</v>
      </c>
      <c r="F7" s="14">
        <v>16500000000</v>
      </c>
    </row>
    <row r="8" spans="1:7">
      <c r="A8" s="2" t="s">
        <v>73</v>
      </c>
      <c r="B8" s="6">
        <v>0.4868074354809601</v>
      </c>
      <c r="C8" s="6">
        <v>0.4425190194420964</v>
      </c>
      <c r="D8" s="6">
        <v>-0.1254826254826255</v>
      </c>
      <c r="E8" s="6">
        <v>0.3464617100075664</v>
      </c>
      <c r="F8" s="6">
        <v>0.4647887323943662</v>
      </c>
    </row>
    <row r="9" spans="1:7">
      <c r="A9" s="2" t="s">
        <v>74</v>
      </c>
      <c r="B9" s="14">
        <v>6811000000</v>
      </c>
      <c r="C9" s="14">
        <v>8911000000</v>
      </c>
      <c r="D9" s="14">
        <v>-5745000000</v>
      </c>
      <c r="E9" s="14">
        <v>811000000</v>
      </c>
      <c r="F9" s="14">
        <v>8300000000</v>
      </c>
    </row>
    <row r="10" spans="1:7">
      <c r="A10" s="2" t="s">
        <v>75</v>
      </c>
      <c r="B10" s="6">
        <v>0.2458401010647898</v>
      </c>
      <c r="C10" s="6">
        <v>0.2897132453345471</v>
      </c>
      <c r="D10" s="6">
        <v>-0.3696911196911196</v>
      </c>
      <c r="E10" s="6">
        <v>0.03229660308231452</v>
      </c>
      <c r="F10" s="6">
        <v>0.2338028169014084</v>
      </c>
    </row>
    <row r="11" spans="1:7">
      <c r="A11" s="2" t="s">
        <v>76</v>
      </c>
      <c r="B11" s="14">
        <v>6676000000</v>
      </c>
      <c r="C11" s="14">
        <v>4700000000</v>
      </c>
      <c r="D11" s="14">
        <v>3795000000</v>
      </c>
      <c r="E11" s="14">
        <v>7889000000</v>
      </c>
      <c r="F11" s="14">
        <v>8200000000</v>
      </c>
    </row>
    <row r="12" spans="1:7">
      <c r="A12" s="2" t="s">
        <v>37</v>
      </c>
      <c r="B12" s="6">
        <v>0.2409673344161704</v>
      </c>
      <c r="C12" s="6">
        <v>0.1528057741075493</v>
      </c>
      <c r="D12" s="6">
        <v>0.2442084942084942</v>
      </c>
      <c r="E12" s="6">
        <v>0.3141651069252519</v>
      </c>
      <c r="F12" s="6">
        <v>0.2309859154929578</v>
      </c>
    </row>
    <row r="13" spans="1:7">
      <c r="A13" s="2" t="s">
        <v>77</v>
      </c>
      <c r="B13" s="14">
        <v>5861000000</v>
      </c>
      <c r="C13" s="14">
        <v>8687000000</v>
      </c>
      <c r="D13" s="14">
        <v>-5833000000</v>
      </c>
      <c r="E13" s="14">
        <v>778000000</v>
      </c>
      <c r="F13" s="14">
        <v>7220000000</v>
      </c>
    </row>
    <row r="14" spans="1:7">
      <c r="A14" s="2" t="s">
        <v>78</v>
      </c>
      <c r="B14" s="6">
        <v>0.2115502616856163</v>
      </c>
      <c r="C14" s="6">
        <v>0.282430587164315</v>
      </c>
      <c r="D14" s="6">
        <v>-0.3753539253539254</v>
      </c>
      <c r="E14" s="6">
        <v>0.03098243797538927</v>
      </c>
      <c r="F14" s="6">
        <v>0.2033802816901408</v>
      </c>
    </row>
    <row r="15" spans="1:7">
      <c r="A15" s="2" t="s">
        <v>79</v>
      </c>
      <c r="B15" s="14">
        <v>5.14</v>
      </c>
      <c r="C15" s="14">
        <v>7.79</v>
      </c>
      <c r="D15" s="14">
        <v>-5.34</v>
      </c>
      <c r="E15" s="14">
        <v>0.7</v>
      </c>
      <c r="F15" s="14">
        <v>6.45</v>
      </c>
    </row>
    <row r="16" spans="1:7">
      <c r="A16" s="2" t="s">
        <v>80</v>
      </c>
      <c r="B16" s="14">
        <v>9704000000</v>
      </c>
      <c r="C16" s="14">
        <v>12067000000</v>
      </c>
      <c r="D16" s="14">
        <v>7676000000</v>
      </c>
      <c r="E16" s="14">
        <v>8186000000</v>
      </c>
      <c r="F16" s="14">
        <v>10500000000</v>
      </c>
    </row>
    <row r="17" spans="1:6">
      <c r="A17" s="2" t="s">
        <v>38</v>
      </c>
      <c r="B17" s="6">
        <v>0.3502616856163148</v>
      </c>
      <c r="C17" s="6">
        <v>0.3923206970544248</v>
      </c>
      <c r="D17" s="6">
        <v>0.4939510939510939</v>
      </c>
      <c r="E17" s="6">
        <v>0.3259925928875791</v>
      </c>
      <c r="F17" s="6">
        <v>0.2957746478873239</v>
      </c>
    </row>
    <row r="18" spans="1:6">
      <c r="A18" s="2" t="s">
        <v>81</v>
      </c>
      <c r="B18" s="14">
        <v>12468000000</v>
      </c>
      <c r="C18" s="14">
        <v>15181000000</v>
      </c>
      <c r="D18" s="14">
        <v>1559000000</v>
      </c>
      <c r="E18" s="14">
        <v>8507000000</v>
      </c>
      <c r="F18" s="14">
        <v>14200000000</v>
      </c>
    </row>
    <row r="19" spans="1:6">
      <c r="A19" s="2" t="s">
        <v>82</v>
      </c>
      <c r="B19" s="6">
        <v>0.4500270709258257</v>
      </c>
      <c r="C19" s="6">
        <v>0.4935626503673841</v>
      </c>
      <c r="D19" s="6">
        <v>0.1003217503217503</v>
      </c>
      <c r="E19" s="6">
        <v>0.3387758352913066</v>
      </c>
      <c r="F19" s="6">
        <v>0.4</v>
      </c>
    </row>
    <row r="20" spans="1:6">
      <c r="A20" s="2" t="s">
        <v>83</v>
      </c>
      <c r="B20" s="14">
        <v>2764000000</v>
      </c>
      <c r="C20" s="14">
        <v>3114000000</v>
      </c>
      <c r="D20" s="14">
        <v>-6117000000</v>
      </c>
      <c r="E20" s="14">
        <v>321000000</v>
      </c>
      <c r="F20" s="14">
        <v>3700000000</v>
      </c>
    </row>
    <row r="21" spans="1:6">
      <c r="A21" s="2" t="s">
        <v>84</v>
      </c>
      <c r="B21" s="6">
        <v>0.0997653853095109</v>
      </c>
      <c r="C21" s="6">
        <v>0.1012419533129592</v>
      </c>
      <c r="D21" s="6">
        <v>-0.3936293436293437</v>
      </c>
      <c r="E21" s="6">
        <v>0.01278324240372745</v>
      </c>
      <c r="F21" s="6">
        <v>0.1042253521126761</v>
      </c>
    </row>
    <row r="22" spans="1:6">
      <c r="A22" s="2" t="s">
        <v>85</v>
      </c>
      <c r="B22" s="14">
        <v>6775000000</v>
      </c>
      <c r="C22" s="14">
        <v>6908000000</v>
      </c>
      <c r="D22" s="14">
        <v>13325000000</v>
      </c>
      <c r="E22" s="14">
        <v>14000000000</v>
      </c>
      <c r="F22" s="14">
        <v>13850000000</v>
      </c>
    </row>
    <row r="23" spans="1:6">
      <c r="A23" s="2" t="s">
        <v>86</v>
      </c>
      <c r="B23" s="14">
        <v>7829000000</v>
      </c>
      <c r="C23" s="14">
        <v>8262000000</v>
      </c>
      <c r="D23" s="14">
        <v>8577000000</v>
      </c>
      <c r="E23" s="14">
        <v>7800000000</v>
      </c>
      <c r="F23" s="14">
        <v>8400000000</v>
      </c>
    </row>
    <row r="24" spans="1:6">
      <c r="A24" s="2" t="s">
        <v>87</v>
      </c>
      <c r="B24" s="14">
        <v>-1054000000</v>
      </c>
      <c r="C24" s="14">
        <v>-1354000000</v>
      </c>
      <c r="D24" s="14">
        <v>4748000000</v>
      </c>
      <c r="E24" s="14">
        <v>6200000000</v>
      </c>
      <c r="F24" s="14">
        <v>5450000000</v>
      </c>
    </row>
    <row r="25" spans="1:6">
      <c r="A25" s="2" t="s">
        <v>88</v>
      </c>
      <c r="B25" s="14">
        <v>-0.07814932898346556</v>
      </c>
      <c r="C25" s="14">
        <v>-0.09947836308867827</v>
      </c>
      <c r="D25" s="14">
        <v>-2.434871794871795</v>
      </c>
      <c r="E25" s="14">
        <v>0.7126436781609196</v>
      </c>
      <c r="F25" s="14">
        <v>0.3303030303030303</v>
      </c>
    </row>
    <row r="26" spans="1:6">
      <c r="A26" s="2" t="s">
        <v>89</v>
      </c>
      <c r="B26" s="14">
        <v>44137000000</v>
      </c>
      <c r="C26" s="14">
        <v>47180000000</v>
      </c>
      <c r="D26" s="14">
        <v>40544000000</v>
      </c>
      <c r="E26" s="14">
        <v>41200000000</v>
      </c>
      <c r="F26" s="14">
        <v>44300000000</v>
      </c>
    </row>
    <row r="27" spans="1:6">
      <c r="A27" s="2" t="s">
        <v>90</v>
      </c>
      <c r="B27" s="15"/>
      <c r="C27" s="6">
        <v>0.1902603020248147</v>
      </c>
      <c r="D27" s="6">
        <v>-0.1329852719894214</v>
      </c>
      <c r="E27" s="6">
        <v>0.01903503621060873</v>
      </c>
      <c r="F27" s="6">
        <v>0.1688888888888889</v>
      </c>
    </row>
    <row r="28" spans="1:6">
      <c r="A28" s="2" t="s">
        <v>91</v>
      </c>
      <c r="B28" s="15"/>
      <c r="C28" s="6">
        <v>0.1802820052473043</v>
      </c>
      <c r="D28" s="6">
        <v>-0.1171699499046922</v>
      </c>
      <c r="E28" s="6">
        <v>0.01749881327406896</v>
      </c>
      <c r="F28" s="6">
        <v>0.1482788313076527</v>
      </c>
    </row>
    <row r="29" spans="1:6">
      <c r="A29" s="2" t="s">
        <v>92</v>
      </c>
      <c r="B29" s="14">
        <v>5575000000</v>
      </c>
      <c r="C29" s="14">
        <v>7396000000</v>
      </c>
      <c r="D29" s="14">
        <v>7340000000</v>
      </c>
      <c r="E29" s="14">
        <v>7800000000</v>
      </c>
      <c r="F29" s="14">
        <v>7700000000</v>
      </c>
    </row>
    <row r="30" spans="1:6">
      <c r="A30" s="2" t="s">
        <v>93</v>
      </c>
      <c r="B30" s="6">
        <v>0.2012272153040967</v>
      </c>
      <c r="C30" s="6">
        <v>0.240457767084986</v>
      </c>
      <c r="D30" s="6">
        <v>0.4723294723294723</v>
      </c>
      <c r="E30" s="6">
        <v>0.3106208434550595</v>
      </c>
      <c r="F30" s="6">
        <v>0.2169014084507042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2.7109375" customWidth="1"/>
    <col min="2" max="7" width="16.7109375" customWidth="1"/>
  </cols>
  <sheetData>
    <row r="1" spans="1:7">
      <c r="A1" s="8" t="s">
        <v>94</v>
      </c>
      <c r="B1" s="8"/>
      <c r="C1" s="8"/>
      <c r="D1" s="8"/>
      <c r="E1" s="8"/>
      <c r="F1" s="8"/>
      <c r="G1" s="8"/>
    </row>
    <row r="2" spans="1:7">
      <c r="A2" s="13" t="s">
        <v>95</v>
      </c>
      <c r="B2" s="13" t="s">
        <v>96</v>
      </c>
      <c r="C2" s="13" t="s">
        <v>97</v>
      </c>
      <c r="D2" s="13" t="s">
        <v>98</v>
      </c>
      <c r="E2" s="13" t="s">
        <v>99</v>
      </c>
      <c r="F2" s="13" t="s">
        <v>100</v>
      </c>
      <c r="G2" s="13" t="s">
        <v>101</v>
      </c>
    </row>
    <row r="3" spans="1:7">
      <c r="A3" s="2" t="s">
        <v>68</v>
      </c>
      <c r="B3" s="14">
        <v>35500000000</v>
      </c>
      <c r="C3" s="14">
        <f>B3*(1+ib_grw1)</f>
        <v>0</v>
      </c>
      <c r="D3" s="14">
        <f>C3*(1+ib_grw2)</f>
        <v>0</v>
      </c>
      <c r="E3" s="14">
        <f>D3*(1+ib_grw3)</f>
        <v>0</v>
      </c>
      <c r="F3" s="14">
        <f>E3*(1+ib_grw4)</f>
        <v>0</v>
      </c>
      <c r="G3" s="14">
        <f>F3*(1+ib_grw5)</f>
        <v>0</v>
      </c>
    </row>
    <row r="4" spans="1:7">
      <c r="A4" s="16" t="s">
        <v>69</v>
      </c>
      <c r="C4" s="6">
        <f>ib_grw1</f>
        <v>0</v>
      </c>
      <c r="D4" s="6">
        <f>ib_grw2</f>
        <v>0</v>
      </c>
      <c r="E4" s="6">
        <f>ib_grw3</f>
        <v>0</v>
      </c>
      <c r="F4" s="6">
        <f>ib_grw4</f>
        <v>0</v>
      </c>
      <c r="G4" s="6">
        <f>ib_grw5</f>
        <v>0</v>
      </c>
    </row>
    <row r="5" spans="1:7">
      <c r="A5" s="2" t="s">
        <v>72</v>
      </c>
      <c r="C5" s="14">
        <f>C3*ib_ebmgn</f>
        <v>0</v>
      </c>
      <c r="D5" s="14">
        <f>D3*ib_ebmgn</f>
        <v>0</v>
      </c>
      <c r="E5" s="14">
        <f>E3*ib_ebmgn</f>
        <v>0</v>
      </c>
      <c r="F5" s="14">
        <f>F3*ib_ebmgn</f>
        <v>0</v>
      </c>
      <c r="G5" s="14">
        <f>G3*ib_ebmgn</f>
        <v>0</v>
      </c>
    </row>
    <row r="6" spans="1:7">
      <c r="A6" s="16" t="s">
        <v>73</v>
      </c>
      <c r="C6" s="6">
        <f>ib_ebmgn</f>
        <v>0</v>
      </c>
      <c r="D6" s="6">
        <f>ib_ebmgn</f>
        <v>0</v>
      </c>
      <c r="E6" s="6">
        <f>ib_ebmgn</f>
        <v>0</v>
      </c>
      <c r="F6" s="6">
        <f>ib_ebmgn</f>
        <v>0</v>
      </c>
      <c r="G6" s="6">
        <f>ib_ebmgn</f>
        <v>0</v>
      </c>
    </row>
    <row r="7" spans="1:7">
      <c r="A7" s="2" t="s">
        <v>76</v>
      </c>
      <c r="C7" s="14">
        <f>C3*ib_dapct</f>
        <v>0</v>
      </c>
      <c r="D7" s="14">
        <f>D3*ib_dapct</f>
        <v>0</v>
      </c>
      <c r="E7" s="14">
        <f>E3*ib_dapct</f>
        <v>0</v>
      </c>
      <c r="F7" s="14">
        <f>F3*ib_dapct</f>
        <v>0</v>
      </c>
      <c r="G7" s="14">
        <f>G3*ib_dapct</f>
        <v>0</v>
      </c>
    </row>
    <row r="8" spans="1:7">
      <c r="A8" s="2" t="s">
        <v>74</v>
      </c>
      <c r="C8" s="14">
        <f>C5-C7</f>
        <v>0</v>
      </c>
      <c r="D8" s="14">
        <f>D5-D7</f>
        <v>0</v>
      </c>
      <c r="E8" s="14">
        <f>E5-E7</f>
        <v>0</v>
      </c>
      <c r="F8" s="14">
        <f>F5-F7</f>
        <v>0</v>
      </c>
      <c r="G8" s="14">
        <f>G5-G7</f>
        <v>0</v>
      </c>
    </row>
    <row r="9" spans="1:7">
      <c r="A9" s="2" t="s">
        <v>102</v>
      </c>
      <c r="C9" s="14">
        <f>C8*ib_tax</f>
        <v>0</v>
      </c>
      <c r="D9" s="14">
        <f>D8*ib_tax</f>
        <v>0</v>
      </c>
      <c r="E9" s="14">
        <f>E8*ib_tax</f>
        <v>0</v>
      </c>
      <c r="F9" s="14">
        <f>F8*ib_tax</f>
        <v>0</v>
      </c>
      <c r="G9" s="14">
        <f>G8*ib_tax</f>
        <v>0</v>
      </c>
    </row>
    <row r="10" spans="1:7">
      <c r="A10" s="2" t="s">
        <v>103</v>
      </c>
      <c r="C10" s="14">
        <f>C8-C9</f>
        <v>0</v>
      </c>
      <c r="D10" s="14">
        <f>D8-D9</f>
        <v>0</v>
      </c>
      <c r="E10" s="14">
        <f>E8-E9</f>
        <v>0</v>
      </c>
      <c r="F10" s="14">
        <f>F8-F9</f>
        <v>0</v>
      </c>
      <c r="G10" s="14">
        <f>G8-G9</f>
        <v>0</v>
      </c>
    </row>
    <row r="11" spans="1:7">
      <c r="A11" s="2" t="s">
        <v>80</v>
      </c>
      <c r="C11" s="14">
        <f>C3*ib_cxpct</f>
        <v>0</v>
      </c>
      <c r="D11" s="14">
        <f>D3*ib_cxpct</f>
        <v>0</v>
      </c>
      <c r="E11" s="14">
        <f>E3*ib_cxpct</f>
        <v>0</v>
      </c>
      <c r="F11" s="14">
        <f>F3*ib_cxpct</f>
        <v>0</v>
      </c>
      <c r="G11" s="14">
        <f>G3*ib_cxpct</f>
        <v>0</v>
      </c>
    </row>
    <row r="12" spans="1:7">
      <c r="A12" s="2" t="s">
        <v>104</v>
      </c>
      <c r="C12" s="14">
        <f>(C3-B3)*ib_nwcpct</f>
        <v>0</v>
      </c>
      <c r="D12" s="14">
        <f>(D3-C3)*ib_nwcpct</f>
        <v>0</v>
      </c>
      <c r="E12" s="14">
        <f>(E3-D3)*ib_nwcpct</f>
        <v>0</v>
      </c>
      <c r="F12" s="14">
        <f>(F3-E3)*ib_nwcpct</f>
        <v>0</v>
      </c>
      <c r="G12" s="14">
        <f>(G3-F3)*ib_nwcpct</f>
        <v>0</v>
      </c>
    </row>
    <row r="13" spans="1:7">
      <c r="A13" s="17" t="s">
        <v>105</v>
      </c>
      <c r="C13" s="14">
        <f>C10+C7-C11-C12</f>
        <v>0</v>
      </c>
      <c r="D13" s="14">
        <f>D10+D7-D11-D12</f>
        <v>0</v>
      </c>
      <c r="E13" s="14">
        <f>E10+E7-E11-E12</f>
        <v>0</v>
      </c>
      <c r="F13" s="14">
        <f>F10+F7-F11-F12</f>
        <v>0</v>
      </c>
      <c r="G13" s="14">
        <f>G10+G7-G11-G12</f>
        <v>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cols>
    <col min="1" max="1" width="32.7109375" customWidth="1"/>
    <col min="2" max="8" width="16.7109375" customWidth="1"/>
  </cols>
  <sheetData>
    <row r="1" spans="1:8">
      <c r="A1" s="8" t="s">
        <v>106</v>
      </c>
      <c r="B1" s="8"/>
      <c r="C1" s="8"/>
      <c r="D1" s="8"/>
      <c r="E1" s="8"/>
      <c r="F1" s="8"/>
      <c r="G1" s="8"/>
      <c r="H1" s="8"/>
    </row>
    <row r="3" spans="1:8">
      <c r="A3" s="3" t="s">
        <v>107</v>
      </c>
      <c r="B3" s="3"/>
    </row>
    <row r="4" spans="1:8">
      <c r="A4" s="2" t="s">
        <v>42</v>
      </c>
      <c r="B4" s="12">
        <f>ib_rf</f>
        <v>0</v>
      </c>
    </row>
    <row r="5" spans="1:8">
      <c r="A5" s="2" t="s">
        <v>43</v>
      </c>
      <c r="B5" s="12">
        <f>ib_erp</f>
        <v>0</v>
      </c>
    </row>
    <row r="6" spans="1:8">
      <c r="A6" s="2" t="s">
        <v>28</v>
      </c>
      <c r="B6" s="18">
        <f>ib_beta</f>
        <v>0</v>
      </c>
    </row>
    <row r="7" spans="1:8">
      <c r="A7" s="17" t="s">
        <v>108</v>
      </c>
      <c r="B7" s="12">
        <f>B4+B5*B6</f>
        <v>0</v>
      </c>
    </row>
    <row r="8" spans="1:8">
      <c r="A8" s="2" t="s">
        <v>109</v>
      </c>
      <c r="B8" s="12">
        <f>B4+ib_spread/10000</f>
        <v>0</v>
      </c>
    </row>
    <row r="9" spans="1:8">
      <c r="A9" s="2" t="s">
        <v>110</v>
      </c>
      <c r="B9" s="12">
        <f>ib_tax</f>
        <v>0</v>
      </c>
    </row>
    <row r="10" spans="1:8">
      <c r="A10" s="2" t="s">
        <v>111</v>
      </c>
      <c r="B10" s="12">
        <f>B8*(1-B9)</f>
        <v>0</v>
      </c>
    </row>
    <row r="11" spans="1:8">
      <c r="A11" s="2" t="s">
        <v>112</v>
      </c>
      <c r="B11" s="12">
        <f>ib_wd</f>
        <v>0</v>
      </c>
    </row>
    <row r="12" spans="1:8">
      <c r="A12" s="2" t="s">
        <v>113</v>
      </c>
      <c r="B12" s="12">
        <f>1-B11</f>
        <v>0</v>
      </c>
    </row>
    <row r="13" spans="1:8">
      <c r="A13" s="17" t="s">
        <v>114</v>
      </c>
      <c r="B13" s="19">
        <f>B7*B12+B10*B11</f>
        <v>0</v>
      </c>
    </row>
    <row r="15" spans="1:8">
      <c r="A15" s="13" t="s">
        <v>115</v>
      </c>
      <c r="B15" s="13">
        <v>1</v>
      </c>
      <c r="C15" s="13">
        <v>2</v>
      </c>
      <c r="D15" s="13">
        <v>3</v>
      </c>
      <c r="E15" s="13">
        <v>4</v>
      </c>
      <c r="F15" s="13">
        <v>5</v>
      </c>
    </row>
    <row r="16" spans="1:8">
      <c r="A16" s="2" t="s">
        <v>105</v>
      </c>
      <c r="B16" s="14">
        <f>Forecast!C13</f>
        <v>0</v>
      </c>
      <c r="C16" s="14">
        <f>Forecast!D13</f>
        <v>0</v>
      </c>
      <c r="D16" s="14">
        <f>Forecast!E13</f>
        <v>0</v>
      </c>
      <c r="E16" s="14">
        <f>Forecast!F13</f>
        <v>0</v>
      </c>
      <c r="F16" s="14">
        <f>Forecast!G13</f>
        <v>0</v>
      </c>
    </row>
    <row r="17" spans="1:6">
      <c r="A17" s="2" t="s">
        <v>116</v>
      </c>
      <c r="B17" s="18">
        <f>1/(1+ib_WACC)^1</f>
        <v>0</v>
      </c>
      <c r="C17" s="18">
        <f>1/(1+ib_WACC)^2</f>
        <v>0</v>
      </c>
      <c r="D17" s="18">
        <f>1/(1+ib_WACC)^3</f>
        <v>0</v>
      </c>
      <c r="E17" s="18">
        <f>1/(1+ib_WACC)^4</f>
        <v>0</v>
      </c>
      <c r="F17" s="18">
        <f>1/(1+ib_WACC)^5</f>
        <v>0</v>
      </c>
    </row>
    <row r="18" spans="1:6">
      <c r="A18" s="2" t="s">
        <v>117</v>
      </c>
      <c r="B18" s="14">
        <f>B16*B17</f>
        <v>0</v>
      </c>
      <c r="C18" s="14">
        <f>C16*C17</f>
        <v>0</v>
      </c>
      <c r="D18" s="14">
        <f>D16*D17</f>
        <v>0</v>
      </c>
      <c r="E18" s="14">
        <f>E16*E17</f>
        <v>0</v>
      </c>
      <c r="F18" s="14">
        <f>F16*F17</f>
        <v>0</v>
      </c>
    </row>
    <row r="20" spans="1:6">
      <c r="A20" s="17" t="s">
        <v>118</v>
      </c>
      <c r="B20" s="14">
        <f>SUM(B18:F18)</f>
        <v>0</v>
      </c>
    </row>
    <row r="21" spans="1:6">
      <c r="A21" s="2" t="s">
        <v>119</v>
      </c>
      <c r="B21" s="14">
        <f>F16</f>
        <v>0</v>
      </c>
    </row>
    <row r="22" spans="1:6">
      <c r="A22" s="2" t="s">
        <v>120</v>
      </c>
      <c r="B22" s="14">
        <f>B21*(1+ib_tg)/(ib_WACC-ib_tg)</f>
        <v>0</v>
      </c>
    </row>
    <row r="23" spans="1:6">
      <c r="A23" s="2" t="s">
        <v>121</v>
      </c>
      <c r="B23" s="14">
        <f>ib_EBDA5*ib_exitm</f>
        <v>0</v>
      </c>
    </row>
    <row r="24" spans="1:6">
      <c r="A24" s="17" t="s">
        <v>122</v>
      </c>
      <c r="B24" s="14">
        <f>AVERAGE(B22,B23)</f>
        <v>0</v>
      </c>
    </row>
    <row r="25" spans="1:6">
      <c r="A25" s="2" t="s">
        <v>123</v>
      </c>
      <c r="B25" s="14">
        <f>B24*F17</f>
        <v>0</v>
      </c>
    </row>
    <row r="26" spans="1:6">
      <c r="A26" s="17" t="s">
        <v>124</v>
      </c>
      <c r="B26" s="14">
        <f>B20+B25</f>
        <v>0</v>
      </c>
    </row>
    <row r="27" spans="1:6">
      <c r="A27" s="2" t="s">
        <v>125</v>
      </c>
      <c r="B27" s="14">
        <f>ib_netdebt</f>
        <v>0</v>
      </c>
    </row>
    <row r="28" spans="1:6">
      <c r="A28" s="17" t="s">
        <v>126</v>
      </c>
      <c r="B28" s="14">
        <f>B26-B27</f>
        <v>0</v>
      </c>
    </row>
    <row r="29" spans="1:6">
      <c r="A29" s="2" t="s">
        <v>127</v>
      </c>
      <c r="B29" s="15">
        <f>ib_shares</f>
        <v>0</v>
      </c>
    </row>
    <row r="30" spans="1:6">
      <c r="A30" s="17" t="s">
        <v>128</v>
      </c>
      <c r="B30" s="20">
        <f>B28/B29</f>
        <v>0</v>
      </c>
    </row>
    <row r="31" spans="1:6">
      <c r="A31" s="2" t="s">
        <v>129</v>
      </c>
      <c r="B31" s="18">
        <f>ib_px</f>
        <v>0</v>
      </c>
    </row>
    <row r="32" spans="1:6">
      <c r="A32" s="17" t="s">
        <v>130</v>
      </c>
      <c r="B32" s="19">
        <f>B30/B31-1</f>
        <v>0</v>
      </c>
    </row>
    <row r="34" spans="1:5">
      <c r="A34" s="3" t="s">
        <v>131</v>
      </c>
      <c r="B34" s="3"/>
      <c r="C34" s="3"/>
      <c r="D34" s="3"/>
      <c r="E34" s="3"/>
    </row>
    <row r="35" spans="1:5">
      <c r="A35" s="13" t="s">
        <v>132</v>
      </c>
      <c r="B35" s="13" t="s">
        <v>133</v>
      </c>
      <c r="C35" s="13" t="s">
        <v>134</v>
      </c>
      <c r="D35" s="13" t="s">
        <v>135</v>
      </c>
      <c r="E35" s="13" t="s">
        <v>136</v>
      </c>
    </row>
    <row r="36" spans="1:5">
      <c r="A36" s="2" t="s">
        <v>137</v>
      </c>
      <c r="B36" s="14">
        <f>B20+B22*F17</f>
        <v>0</v>
      </c>
      <c r="C36" s="14">
        <f>B36-ib_netdebt</f>
        <v>0</v>
      </c>
      <c r="D36" s="18">
        <f>C36/ib_shares</f>
        <v>0</v>
      </c>
      <c r="E36" s="6">
        <f>D36/ib_px-1</f>
        <v>0</v>
      </c>
    </row>
    <row r="37" spans="1:5">
      <c r="A37" s="2" t="s">
        <v>138</v>
      </c>
      <c r="B37" s="14">
        <f>B20+B23*F17</f>
        <v>0</v>
      </c>
      <c r="C37" s="14">
        <f>B37-ib_netdebt</f>
        <v>0</v>
      </c>
      <c r="D37" s="18">
        <f>C37/ib_shares</f>
        <v>0</v>
      </c>
      <c r="E37" s="6">
        <f>D37/ib_px-1</f>
        <v>0</v>
      </c>
    </row>
    <row r="38" spans="1:5">
      <c r="A38" s="17" t="s">
        <v>139</v>
      </c>
      <c r="B38" s="14">
        <f>B26</f>
        <v>0</v>
      </c>
      <c r="C38" s="14">
        <f>B28</f>
        <v>0</v>
      </c>
      <c r="D38" s="20">
        <f>B30</f>
        <v>0</v>
      </c>
      <c r="E38" s="19">
        <f>B32</f>
        <v>0</v>
      </c>
    </row>
    <row r="40" spans="1:5">
      <c r="A40" s="17" t="s">
        <v>140</v>
      </c>
      <c r="B40" s="20">
        <f>B30</f>
        <v>0</v>
      </c>
    </row>
  </sheetData>
  <mergeCells count="3">
    <mergeCell ref="A1:H1"/>
    <mergeCell ref="A3:B3"/>
    <mergeCell ref="A34:E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1" width="36.7109375" customWidth="1"/>
    <col min="2" max="8" width="16.7109375" customWidth="1"/>
  </cols>
  <sheetData>
    <row r="1" spans="1:8">
      <c r="A1" s="8" t="s">
        <v>141</v>
      </c>
      <c r="B1" s="8"/>
      <c r="C1" s="8"/>
      <c r="D1" s="8"/>
      <c r="E1" s="8"/>
      <c r="F1" s="8"/>
      <c r="G1" s="8"/>
      <c r="H1" s="8"/>
    </row>
    <row r="3" spans="1:8">
      <c r="A3" s="3" t="s">
        <v>142</v>
      </c>
      <c r="B3" s="3"/>
      <c r="C3" s="3"/>
    </row>
    <row r="4" spans="1:8">
      <c r="A4" s="13" t="s">
        <v>143</v>
      </c>
      <c r="B4" s="13" t="s">
        <v>144</v>
      </c>
      <c r="C4" s="13" t="s">
        <v>145</v>
      </c>
    </row>
    <row r="5" spans="1:8">
      <c r="A5" s="2" t="s">
        <v>146</v>
      </c>
      <c r="B5" s="14">
        <f>ib_EBDA1*ib_leverage</f>
        <v>0</v>
      </c>
      <c r="C5" s="6">
        <f>B5/B7</f>
        <v>0</v>
      </c>
    </row>
    <row r="6" spans="1:8">
      <c r="A6" s="2" t="s">
        <v>147</v>
      </c>
      <c r="B6" s="14">
        <f>B12-B5+B11</f>
        <v>0</v>
      </c>
      <c r="C6" s="6">
        <f>B6/B7</f>
        <v>0</v>
      </c>
    </row>
    <row r="7" spans="1:8">
      <c r="A7" s="17" t="s">
        <v>148</v>
      </c>
      <c r="B7" s="14">
        <f>B5+B6</f>
        <v>0</v>
      </c>
      <c r="C7" s="6">
        <f>1</f>
        <v>0</v>
      </c>
    </row>
    <row r="9" spans="1:8">
      <c r="A9" s="3" t="s">
        <v>149</v>
      </c>
      <c r="B9" s="3"/>
      <c r="C9" s="3"/>
    </row>
    <row r="10" spans="1:8">
      <c r="A10" s="13" t="s">
        <v>150</v>
      </c>
      <c r="B10" s="13" t="s">
        <v>144</v>
      </c>
      <c r="C10" s="13"/>
    </row>
    <row r="11" spans="1:8">
      <c r="A11" s="2" t="s">
        <v>151</v>
      </c>
      <c r="B11" s="14">
        <f>B12*0.02</f>
        <v>0</v>
      </c>
    </row>
    <row r="12" spans="1:8">
      <c r="A12" s="2" t="s">
        <v>152</v>
      </c>
      <c r="B12" s="14">
        <f>ib_EBDA1*ib_entrym</f>
        <v>0</v>
      </c>
    </row>
    <row r="13" spans="1:8">
      <c r="A13" s="17" t="s">
        <v>153</v>
      </c>
      <c r="B13" s="14">
        <f>B11+B12</f>
        <v>0</v>
      </c>
    </row>
    <row r="15" spans="1:8">
      <c r="A15" s="3" t="s">
        <v>154</v>
      </c>
      <c r="B15" s="3"/>
      <c r="C15" s="3"/>
      <c r="D15" s="3"/>
      <c r="E15" s="3"/>
      <c r="F15" s="3"/>
      <c r="G15" s="3"/>
    </row>
    <row r="16" spans="1:8">
      <c r="A16" s="13" t="s">
        <v>115</v>
      </c>
      <c r="B16" s="13" t="s">
        <v>155</v>
      </c>
      <c r="C16" s="13" t="s">
        <v>156</v>
      </c>
      <c r="D16" s="13" t="s">
        <v>157</v>
      </c>
      <c r="E16" s="13" t="s">
        <v>158</v>
      </c>
      <c r="F16" s="13" t="s">
        <v>159</v>
      </c>
    </row>
    <row r="17" spans="1:6">
      <c r="A17" s="2" t="s">
        <v>160</v>
      </c>
      <c r="B17" s="14">
        <f>B5</f>
        <v>0</v>
      </c>
      <c r="C17" s="14">
        <f>B26</f>
        <v>0</v>
      </c>
      <c r="D17" s="14">
        <f>C26</f>
        <v>0</v>
      </c>
      <c r="E17" s="14">
        <f>D26</f>
        <v>0</v>
      </c>
      <c r="F17" s="14">
        <f>E26</f>
        <v>0</v>
      </c>
    </row>
    <row r="18" spans="1:6">
      <c r="A18" s="2" t="s">
        <v>161</v>
      </c>
      <c r="B18" s="14">
        <f>B17*0.01</f>
        <v>0</v>
      </c>
      <c r="C18" s="14">
        <f>C17*0.01</f>
        <v>0</v>
      </c>
      <c r="D18" s="14">
        <f>D17*0.01</f>
        <v>0</v>
      </c>
      <c r="E18" s="14">
        <f>E17*0.01</f>
        <v>0</v>
      </c>
      <c r="F18" s="14">
        <f>F17*0.01</f>
        <v>0</v>
      </c>
    </row>
    <row r="19" spans="1:6">
      <c r="A19" s="2" t="s">
        <v>162</v>
      </c>
      <c r="B19" s="14">
        <f>B17*ib_kdLBO</f>
        <v>0</v>
      </c>
      <c r="C19" s="14">
        <f>C17*ib_kdLBO</f>
        <v>0</v>
      </c>
      <c r="D19" s="14">
        <f>D17*ib_kdLBO</f>
        <v>0</v>
      </c>
      <c r="E19" s="14">
        <f>E17*ib_kdLBO</f>
        <v>0</v>
      </c>
      <c r="F19" s="14">
        <f>F17*ib_kdLBO</f>
        <v>0</v>
      </c>
    </row>
    <row r="20" spans="1:6">
      <c r="A20" s="2" t="s">
        <v>72</v>
      </c>
      <c r="B20" s="14">
        <f>Forecast!C5</f>
        <v>0</v>
      </c>
      <c r="C20" s="14">
        <f>Forecast!D5</f>
        <v>0</v>
      </c>
      <c r="D20" s="14">
        <f>Forecast!E5</f>
        <v>0</v>
      </c>
      <c r="E20" s="14">
        <f>Forecast!F5</f>
        <v>0</v>
      </c>
      <c r="F20" s="14">
        <f>Forecast!G5</f>
        <v>0</v>
      </c>
    </row>
    <row r="21" spans="1:6">
      <c r="A21" s="2" t="s">
        <v>163</v>
      </c>
      <c r="B21" s="14">
        <f>(Forecast!C8-B19)*ib_tax</f>
        <v>0</v>
      </c>
      <c r="C21" s="14">
        <f>(Forecast!D8-C19)*ib_tax</f>
        <v>0</v>
      </c>
      <c r="D21" s="14">
        <f>(Forecast!E8-D19)*ib_tax</f>
        <v>0</v>
      </c>
      <c r="E21" s="14">
        <f>(Forecast!F8-E19)*ib_tax</f>
        <v>0</v>
      </c>
      <c r="F21" s="14">
        <f>(Forecast!G8-F19)*ib_tax</f>
        <v>0</v>
      </c>
    </row>
    <row r="22" spans="1:6">
      <c r="A22" s="2" t="s">
        <v>164</v>
      </c>
      <c r="B22" s="14">
        <f>Forecast!C11</f>
        <v>0</v>
      </c>
      <c r="C22" s="14">
        <f>Forecast!D11</f>
        <v>0</v>
      </c>
      <c r="D22" s="14">
        <f>Forecast!E11</f>
        <v>0</v>
      </c>
      <c r="E22" s="14">
        <f>Forecast!F11</f>
        <v>0</v>
      </c>
      <c r="F22" s="14">
        <f>Forecast!G11</f>
        <v>0</v>
      </c>
    </row>
    <row r="23" spans="1:6">
      <c r="A23" s="2" t="s">
        <v>165</v>
      </c>
      <c r="B23" s="14">
        <f>Forecast!C12</f>
        <v>0</v>
      </c>
      <c r="C23" s="14">
        <f>Forecast!D12</f>
        <v>0</v>
      </c>
      <c r="D23" s="14">
        <f>Forecast!E12</f>
        <v>0</v>
      </c>
      <c r="E23" s="14">
        <f>Forecast!F12</f>
        <v>0</v>
      </c>
      <c r="F23" s="14">
        <f>Forecast!G12</f>
        <v>0</v>
      </c>
    </row>
    <row r="24" spans="1:6">
      <c r="A24" s="2" t="s">
        <v>166</v>
      </c>
      <c r="B24" s="14">
        <f>B20-B19-MAX(0,B21)-B22-B23</f>
        <v>0</v>
      </c>
      <c r="C24" s="14">
        <f>C20-C19-MAX(0,C21)-C22-C23</f>
        <v>0</v>
      </c>
      <c r="D24" s="14">
        <f>D20-D19-MAX(0,D21)-D22-D23</f>
        <v>0</v>
      </c>
      <c r="E24" s="14">
        <f>E20-E19-MAX(0,E21)-E22-E23</f>
        <v>0</v>
      </c>
      <c r="F24" s="14">
        <f>F20-F19-MAX(0,F21)-F22-F23</f>
        <v>0</v>
      </c>
    </row>
    <row r="25" spans="1:6">
      <c r="A25" s="2" t="s">
        <v>167</v>
      </c>
      <c r="B25" s="14">
        <f>MIN(MAX(0,(B24-B18))*ib_sweep,MAX(0,B17-B18))</f>
        <v>0</v>
      </c>
      <c r="C25" s="14">
        <f>MIN(MAX(0,(C24-C18))*ib_sweep,MAX(0,C17-C18))</f>
        <v>0</v>
      </c>
      <c r="D25" s="14">
        <f>MIN(MAX(0,(D24-D18))*ib_sweep,MAX(0,D17-D18))</f>
        <v>0</v>
      </c>
      <c r="E25" s="14">
        <f>MIN(MAX(0,(E24-E18))*ib_sweep,MAX(0,E17-E18))</f>
        <v>0</v>
      </c>
      <c r="F25" s="14">
        <f>MIN(MAX(0,(F24-F18))*ib_sweep,MAX(0,F17-F18))</f>
        <v>0</v>
      </c>
    </row>
    <row r="26" spans="1:6">
      <c r="A26" s="2" t="s">
        <v>168</v>
      </c>
      <c r="B26" s="14">
        <f>B17-B18-B25</f>
        <v>0</v>
      </c>
      <c r="C26" s="14">
        <f>C17-C18-C25</f>
        <v>0</v>
      </c>
      <c r="D26" s="14">
        <f>D17-D18-D25</f>
        <v>0</v>
      </c>
      <c r="E26" s="14">
        <f>E17-E18-E25</f>
        <v>0</v>
      </c>
      <c r="F26" s="14">
        <f>F17-F18-F25</f>
        <v>0</v>
      </c>
    </row>
    <row r="27" spans="1:6">
      <c r="A27" s="2" t="s">
        <v>88</v>
      </c>
      <c r="B27" s="7">
        <f>B26/B20</f>
        <v>0</v>
      </c>
      <c r="C27" s="7">
        <f>C26/C20</f>
        <v>0</v>
      </c>
      <c r="D27" s="7">
        <f>D26/D20</f>
        <v>0</v>
      </c>
      <c r="E27" s="7">
        <f>E26/E20</f>
        <v>0</v>
      </c>
      <c r="F27" s="7">
        <f>F26/F20</f>
        <v>0</v>
      </c>
    </row>
    <row r="28" spans="1:6">
      <c r="A28" s="2" t="s">
        <v>169</v>
      </c>
      <c r="B28" s="7">
        <f>B20/B19</f>
        <v>0</v>
      </c>
      <c r="C28" s="7">
        <f>C20/C19</f>
        <v>0</v>
      </c>
      <c r="D28" s="7">
        <f>D20/D19</f>
        <v>0</v>
      </c>
      <c r="E28" s="7">
        <f>E20/E19</f>
        <v>0</v>
      </c>
      <c r="F28" s="7">
        <f>F20/F19</f>
        <v>0</v>
      </c>
    </row>
    <row r="30" spans="1:6">
      <c r="A30" s="3" t="s">
        <v>170</v>
      </c>
      <c r="B30" s="3"/>
      <c r="C30" s="3"/>
    </row>
    <row r="31" spans="1:6">
      <c r="A31" s="2" t="s">
        <v>171</v>
      </c>
      <c r="B31" s="14">
        <f>Forecast!G5</f>
        <v>0</v>
      </c>
    </row>
    <row r="32" spans="1:6">
      <c r="A32" s="2" t="s">
        <v>138</v>
      </c>
      <c r="B32" s="7">
        <f>ib_exitm</f>
        <v>0</v>
      </c>
    </row>
    <row r="33" spans="1:2">
      <c r="A33" s="17" t="s">
        <v>172</v>
      </c>
      <c r="B33" s="14">
        <f>B31*B32</f>
        <v>0</v>
      </c>
    </row>
    <row r="34" spans="1:2">
      <c r="A34" s="2" t="s">
        <v>173</v>
      </c>
      <c r="B34" s="14">
        <f>F26</f>
        <v>0</v>
      </c>
    </row>
    <row r="35" spans="1:2">
      <c r="A35" s="2" t="s">
        <v>174</v>
      </c>
      <c r="B35" s="14">
        <f>SUMPRODUCT((B24:F24-B25:F25-B18:F18&gt;0)*(B24:F24-B25:F25-B18:F18))</f>
        <v>0</v>
      </c>
    </row>
    <row r="36" spans="1:2">
      <c r="A36" s="17" t="s">
        <v>175</v>
      </c>
      <c r="B36" s="14">
        <f>B33-B34+B35</f>
        <v>0</v>
      </c>
    </row>
    <row r="37" spans="1:2">
      <c r="A37" s="2" t="s">
        <v>176</v>
      </c>
      <c r="B37" s="14">
        <f>B6</f>
        <v>0</v>
      </c>
    </row>
    <row r="38" spans="1:2">
      <c r="A38" s="17" t="s">
        <v>177</v>
      </c>
      <c r="B38" s="20">
        <f>B36/B37</f>
        <v>0</v>
      </c>
    </row>
    <row r="39" spans="1:2">
      <c r="A39" s="2" t="s">
        <v>178</v>
      </c>
      <c r="B39" s="15">
        <f>ib_hold</f>
        <v>0</v>
      </c>
    </row>
    <row r="40" spans="1:2">
      <c r="A40" s="17" t="s">
        <v>179</v>
      </c>
      <c r="B40" s="19">
        <f>B38^(1/B39)-1</f>
        <v>0</v>
      </c>
    </row>
    <row r="41" spans="1:2">
      <c r="A41" s="17" t="s">
        <v>180</v>
      </c>
      <c r="B41" s="20">
        <f>B38</f>
        <v>0</v>
      </c>
    </row>
  </sheetData>
  <mergeCells count="5">
    <mergeCell ref="A1:H1"/>
    <mergeCell ref="A3:C3"/>
    <mergeCell ref="A9:C9"/>
    <mergeCell ref="A15:G15"/>
    <mergeCell ref="A30:C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cols>
    <col min="1" max="1" width="36.7109375" customWidth="1"/>
    <col min="2" max="5" width="18.7109375" customWidth="1"/>
  </cols>
  <sheetData>
    <row r="1" spans="1:5">
      <c r="A1" s="8" t="s">
        <v>181</v>
      </c>
      <c r="B1" s="8"/>
      <c r="C1" s="8"/>
      <c r="D1" s="8"/>
      <c r="E1" s="8"/>
    </row>
    <row r="3" spans="1:5">
      <c r="A3" s="3" t="s">
        <v>182</v>
      </c>
      <c r="B3" s="3"/>
    </row>
    <row r="4" spans="1:5">
      <c r="A4" s="2" t="s">
        <v>183</v>
      </c>
      <c r="B4" s="14">
        <v>65</v>
      </c>
    </row>
    <row r="5" spans="1:5">
      <c r="A5" s="2" t="s">
        <v>184</v>
      </c>
      <c r="B5" s="14">
        <v>0.3</v>
      </c>
    </row>
    <row r="6" spans="1:5">
      <c r="A6" s="2" t="s">
        <v>185</v>
      </c>
      <c r="B6" s="14">
        <v>84.5</v>
      </c>
    </row>
    <row r="7" spans="1:5">
      <c r="A7" s="2" t="s">
        <v>186</v>
      </c>
      <c r="B7" s="14">
        <v>230769230.7692308</v>
      </c>
    </row>
    <row r="8" spans="1:5">
      <c r="A8" s="2" t="s">
        <v>187</v>
      </c>
      <c r="B8" s="14">
        <v>19500000000</v>
      </c>
    </row>
    <row r="9" spans="1:5">
      <c r="A9" s="2" t="s">
        <v>188</v>
      </c>
      <c r="B9" s="14">
        <v>3050000000</v>
      </c>
    </row>
    <row r="10" spans="1:5">
      <c r="A10" s="2" t="s">
        <v>189</v>
      </c>
      <c r="B10" s="14">
        <v>338250000</v>
      </c>
    </row>
    <row r="11" spans="1:5">
      <c r="A11" s="2" t="s">
        <v>190</v>
      </c>
      <c r="B11" s="14">
        <v>22550000000</v>
      </c>
    </row>
    <row r="14" spans="1:5">
      <c r="A14" s="3" t="s">
        <v>191</v>
      </c>
      <c r="B14" s="3"/>
      <c r="C14" s="3"/>
      <c r="D14" s="3"/>
      <c r="E14" s="3"/>
    </row>
    <row r="15" spans="1:5">
      <c r="A15" s="13" t="s">
        <v>192</v>
      </c>
      <c r="B15" s="13" t="s">
        <v>193</v>
      </c>
      <c r="C15" s="13" t="s">
        <v>194</v>
      </c>
      <c r="D15" s="13" t="s">
        <v>195</v>
      </c>
    </row>
    <row r="16" spans="1:5">
      <c r="A16" s="2" t="s">
        <v>196</v>
      </c>
      <c r="B16" s="6">
        <v>1</v>
      </c>
      <c r="C16" s="6">
        <v>0</v>
      </c>
      <c r="D16" s="6">
        <v>0.5</v>
      </c>
    </row>
    <row r="17" spans="1:4">
      <c r="A17" s="2" t="s">
        <v>197</v>
      </c>
      <c r="B17" s="6">
        <v>0</v>
      </c>
      <c r="C17" s="6">
        <v>1</v>
      </c>
      <c r="D17" s="6">
        <v>0.5</v>
      </c>
    </row>
    <row r="18" spans="1:4">
      <c r="A18" s="2" t="s">
        <v>198</v>
      </c>
      <c r="B18" s="14">
        <v>179806362.3789765</v>
      </c>
      <c r="C18" s="14">
        <v>0</v>
      </c>
      <c r="D18" s="14">
        <v>89903181.18948825</v>
      </c>
    </row>
    <row r="19" spans="1:4">
      <c r="A19" s="2" t="s">
        <v>199</v>
      </c>
      <c r="B19" s="14">
        <v>338250000</v>
      </c>
      <c r="C19" s="14">
        <v>19838250000</v>
      </c>
      <c r="D19" s="14">
        <v>10088250000</v>
      </c>
    </row>
    <row r="20" spans="1:4">
      <c r="A20" s="2" t="s">
        <v>200</v>
      </c>
      <c r="B20" s="14">
        <v>20125875</v>
      </c>
      <c r="C20" s="14">
        <v>1180375875</v>
      </c>
      <c r="D20" s="14">
        <v>600250875.0000001</v>
      </c>
    </row>
    <row r="21" spans="1:4">
      <c r="A21" s="2" t="s">
        <v>201</v>
      </c>
      <c r="B21" s="14">
        <v>524343750</v>
      </c>
      <c r="C21" s="14">
        <v>524343750</v>
      </c>
      <c r="D21" s="14">
        <v>524343750</v>
      </c>
    </row>
    <row r="22" spans="1:4">
      <c r="A22" s="2" t="s">
        <v>202</v>
      </c>
      <c r="B22" s="14">
        <v>8124217875</v>
      </c>
      <c r="C22" s="14">
        <v>6963967875</v>
      </c>
      <c r="D22" s="14">
        <v>7544092875</v>
      </c>
    </row>
    <row r="23" spans="1:4">
      <c r="A23" s="2" t="s">
        <v>203</v>
      </c>
      <c r="B23" s="14">
        <v>1299806362.378977</v>
      </c>
      <c r="C23" s="14">
        <v>1120000000</v>
      </c>
      <c r="D23" s="14">
        <v>1209903181.189488</v>
      </c>
    </row>
    <row r="24" spans="1:4">
      <c r="A24" s="2" t="s">
        <v>204</v>
      </c>
      <c r="B24" s="14">
        <v>6.250329364545203</v>
      </c>
      <c r="C24" s="14">
        <v>6.217828459821429</v>
      </c>
      <c r="D24" s="14">
        <v>6.235286419846587</v>
      </c>
    </row>
    <row r="25" spans="1:4">
      <c r="A25" s="2" t="s">
        <v>205</v>
      </c>
      <c r="B25" s="14">
        <v>6.446428571428571</v>
      </c>
      <c r="C25" s="14">
        <v>6.446428571428571</v>
      </c>
      <c r="D25" s="14">
        <v>6.446428571428571</v>
      </c>
    </row>
    <row r="26" spans="1:4">
      <c r="A26" s="2" t="s">
        <v>206</v>
      </c>
      <c r="B26" s="6">
        <v>-0.03041982156639511</v>
      </c>
      <c r="C26" s="6">
        <v>-0.0354615131578947</v>
      </c>
      <c r="D26" s="6">
        <v>-0.03275335315399197</v>
      </c>
    </row>
  </sheetData>
  <mergeCells count="3">
    <mergeCell ref="A1:E1"/>
    <mergeCell ref="A3:B3"/>
    <mergeCell ref="A14:E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cols>
    <col min="1" max="1" width="22.7109375" customWidth="1"/>
    <col min="2" max="26" width="14.7109375" customWidth="1"/>
  </cols>
  <sheetData>
    <row r="1" spans="1:16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6">
      <c r="A3" s="3" t="s">
        <v>208</v>
      </c>
    </row>
    <row r="4" spans="1:16">
      <c r="A4" s="13" t="s">
        <v>23</v>
      </c>
      <c r="B4" s="13" t="s">
        <v>209</v>
      </c>
      <c r="C4" s="13" t="s">
        <v>1</v>
      </c>
      <c r="D4" s="13" t="s">
        <v>3</v>
      </c>
      <c r="E4" s="13" t="s">
        <v>210</v>
      </c>
      <c r="F4" s="13" t="s">
        <v>211</v>
      </c>
      <c r="G4" s="13" t="s">
        <v>124</v>
      </c>
      <c r="H4" s="13" t="s">
        <v>68</v>
      </c>
      <c r="I4" s="13" t="s">
        <v>72</v>
      </c>
      <c r="J4" s="13" t="s">
        <v>77</v>
      </c>
      <c r="K4" s="13" t="s">
        <v>79</v>
      </c>
      <c r="L4" s="13" t="s">
        <v>212</v>
      </c>
      <c r="M4" s="13" t="s">
        <v>213</v>
      </c>
      <c r="N4" s="13" t="s">
        <v>214</v>
      </c>
      <c r="O4" s="13" t="s">
        <v>215</v>
      </c>
      <c r="P4" s="13" t="s">
        <v>216</v>
      </c>
    </row>
    <row r="5" spans="1:16">
      <c r="A5" t="s">
        <v>24</v>
      </c>
      <c r="B5" t="s">
        <v>217</v>
      </c>
      <c r="C5" t="s">
        <v>2</v>
      </c>
      <c r="D5" t="s">
        <v>4</v>
      </c>
      <c r="E5" s="14">
        <v>108.45</v>
      </c>
      <c r="F5" s="14">
        <v>121500000000</v>
      </c>
      <c r="G5" s="14">
        <v>125350000000</v>
      </c>
      <c r="H5" s="14">
        <v>35500000000</v>
      </c>
      <c r="I5" s="14">
        <v>16500000000</v>
      </c>
      <c r="J5" s="14">
        <v>7220000000</v>
      </c>
      <c r="K5" s="14">
        <v>6.45</v>
      </c>
      <c r="L5" s="14">
        <v>44300000000</v>
      </c>
      <c r="M5" s="7">
        <v>3.530985915492958</v>
      </c>
      <c r="N5" s="7">
        <v>7.596969696969697</v>
      </c>
      <c r="O5" s="7">
        <v>16.81395348837209</v>
      </c>
      <c r="P5" s="7">
        <v>2.742663656884876</v>
      </c>
    </row>
    <row r="6" spans="1:16">
      <c r="A6" t="s">
        <v>218</v>
      </c>
      <c r="B6" t="s">
        <v>219</v>
      </c>
      <c r="C6" t="s">
        <v>2</v>
      </c>
      <c r="D6" t="s">
        <v>4</v>
      </c>
      <c r="E6" s="14">
        <v>65</v>
      </c>
      <c r="F6" s="14">
        <v>15000000000</v>
      </c>
      <c r="G6" s="14">
        <v>19000000000</v>
      </c>
      <c r="H6" s="14">
        <v>12500000000</v>
      </c>
      <c r="I6" s="14">
        <v>1500000000</v>
      </c>
      <c r="J6" s="14">
        <v>400000000</v>
      </c>
      <c r="K6" s="14">
        <v>1.2</v>
      </c>
      <c r="L6" s="14">
        <v>5000000000</v>
      </c>
      <c r="M6" s="7">
        <v>1.52</v>
      </c>
      <c r="N6" s="7">
        <v>12.66666666666667</v>
      </c>
      <c r="O6" s="7">
        <v>54.16666666666667</v>
      </c>
      <c r="P6" s="7">
        <v>3</v>
      </c>
    </row>
    <row r="7" spans="1:16">
      <c r="A7" t="s">
        <v>220</v>
      </c>
      <c r="B7" t="s">
        <v>221</v>
      </c>
      <c r="C7" t="s">
        <v>2</v>
      </c>
      <c r="D7" t="s">
        <v>4</v>
      </c>
      <c r="E7" s="14">
        <v>102</v>
      </c>
      <c r="F7" s="14">
        <v>22000000000</v>
      </c>
      <c r="G7" s="14">
        <v>27000000000</v>
      </c>
      <c r="H7" s="14">
        <v>7000000000</v>
      </c>
      <c r="I7" s="14">
        <v>1400000000</v>
      </c>
      <c r="J7" s="14">
        <v>600000000</v>
      </c>
      <c r="K7" s="14">
        <v>2.85</v>
      </c>
      <c r="L7" s="14">
        <v>1500000000</v>
      </c>
      <c r="M7" s="7">
        <v>3.857142857142857</v>
      </c>
      <c r="N7" s="7">
        <v>19.28571428571428</v>
      </c>
      <c r="O7" s="7">
        <v>35.78947368421053</v>
      </c>
      <c r="P7" s="7">
        <v>14.66666666666667</v>
      </c>
    </row>
    <row r="8" spans="1:16">
      <c r="A8" t="s">
        <v>222</v>
      </c>
      <c r="B8" t="s">
        <v>223</v>
      </c>
      <c r="C8" t="s">
        <v>2</v>
      </c>
      <c r="D8" t="s">
        <v>4</v>
      </c>
      <c r="E8" s="14">
        <v>122</v>
      </c>
      <c r="F8" s="14">
        <v>3000000000000</v>
      </c>
      <c r="G8" s="14">
        <v>2980000000000</v>
      </c>
      <c r="H8" s="14">
        <v>130000000000</v>
      </c>
      <c r="I8" s="14">
        <v>80000000000</v>
      </c>
      <c r="J8" s="14">
        <v>60000000000</v>
      </c>
      <c r="K8" s="14">
        <v>2.45</v>
      </c>
      <c r="L8" s="14">
        <v>50000000000</v>
      </c>
      <c r="M8" s="7">
        <v>22.92307692307692</v>
      </c>
      <c r="N8" s="7">
        <v>37.25</v>
      </c>
      <c r="O8" s="7">
        <v>49.79591836734694</v>
      </c>
      <c r="P8" s="7">
        <v>60</v>
      </c>
    </row>
    <row r="9" spans="1:16">
      <c r="A9" t="s">
        <v>224</v>
      </c>
      <c r="B9" t="s">
        <v>225</v>
      </c>
      <c r="C9" t="s">
        <v>2</v>
      </c>
      <c r="D9" t="s">
        <v>4</v>
      </c>
      <c r="E9" s="14">
        <v>175</v>
      </c>
      <c r="F9" s="14">
        <v>900000000000</v>
      </c>
      <c r="G9" s="14">
        <v>870000000000</v>
      </c>
      <c r="H9" s="14">
        <v>90000000000</v>
      </c>
      <c r="I9" s="14">
        <v>60000000000</v>
      </c>
      <c r="J9" s="14">
        <v>33000000000</v>
      </c>
      <c r="K9" s="14">
        <v>6.3</v>
      </c>
      <c r="L9" s="14">
        <v>110000000000</v>
      </c>
      <c r="M9" s="7">
        <v>9.666666666666666</v>
      </c>
      <c r="N9" s="7">
        <v>14.5</v>
      </c>
      <c r="O9" s="7">
        <v>27.77777777777778</v>
      </c>
      <c r="P9" s="7">
        <v>8.181818181818182</v>
      </c>
    </row>
    <row r="10" spans="1:16">
      <c r="A10" t="s">
        <v>226</v>
      </c>
      <c r="B10" t="s">
        <v>227</v>
      </c>
      <c r="C10" t="s">
        <v>2</v>
      </c>
      <c r="D10" t="s">
        <v>4</v>
      </c>
      <c r="E10" s="14">
        <v>168</v>
      </c>
      <c r="F10" s="14">
        <v>790000000000</v>
      </c>
      <c r="G10" s="14">
        <v>850000000000</v>
      </c>
      <c r="H10" s="14">
        <v>50000000000</v>
      </c>
      <c r="I10" s="14">
        <v>30000000000</v>
      </c>
      <c r="J10" s="14">
        <v>14000000000</v>
      </c>
      <c r="K10" s="14">
        <v>3.1</v>
      </c>
      <c r="L10" s="14">
        <v>70000000000</v>
      </c>
      <c r="M10" s="7">
        <v>17</v>
      </c>
      <c r="N10" s="7">
        <v>28.33333333333333</v>
      </c>
      <c r="O10" s="7">
        <v>54.19354838709678</v>
      </c>
      <c r="P10" s="7">
        <v>11.28571428571429</v>
      </c>
    </row>
    <row r="11" spans="1:16">
      <c r="A11" t="s">
        <v>228</v>
      </c>
      <c r="B11" t="s">
        <v>229</v>
      </c>
      <c r="C11" t="s">
        <v>2</v>
      </c>
      <c r="D11" t="s">
        <v>4</v>
      </c>
      <c r="E11" s="14">
        <v>23</v>
      </c>
      <c r="F11" s="14">
        <v>100000000000</v>
      </c>
      <c r="G11" s="14">
        <v>130000000000</v>
      </c>
      <c r="H11" s="14">
        <v>55000000000</v>
      </c>
      <c r="I11" s="14">
        <v>10000000000</v>
      </c>
      <c r="J11" s="14">
        <v>1000000000</v>
      </c>
      <c r="K11" s="14">
        <v>0.2</v>
      </c>
      <c r="L11" s="14">
        <v>110000000000</v>
      </c>
      <c r="M11" s="7">
        <v>2.363636363636364</v>
      </c>
      <c r="N11" s="7">
        <v>13</v>
      </c>
      <c r="O11" s="7">
        <v>115</v>
      </c>
      <c r="P11" s="7">
        <v>0.9090909090909091</v>
      </c>
    </row>
    <row r="12" spans="1:16">
      <c r="A12" t="s">
        <v>230</v>
      </c>
      <c r="B12" t="s">
        <v>230</v>
      </c>
      <c r="C12" t="s">
        <v>2</v>
      </c>
      <c r="D12" t="s">
        <v>4</v>
      </c>
      <c r="E12" s="14">
        <v>137</v>
      </c>
      <c r="F12" s="14">
        <v>220000000000</v>
      </c>
      <c r="G12" s="14">
        <v>230000000000</v>
      </c>
      <c r="H12" s="14">
        <v>25000000000</v>
      </c>
      <c r="I12" s="14">
        <v>5000000000</v>
      </c>
      <c r="J12" s="14">
        <v>2000000000</v>
      </c>
      <c r="K12" s="14">
        <v>1.2</v>
      </c>
      <c r="L12" s="14">
        <v>55000000000</v>
      </c>
      <c r="M12" s="7">
        <v>9.199999999999999</v>
      </c>
      <c r="N12" s="7">
        <v>46</v>
      </c>
      <c r="O12" s="7">
        <v>114.1666666666667</v>
      </c>
      <c r="P12" s="7">
        <v>4</v>
      </c>
    </row>
    <row r="15" spans="1:16">
      <c r="A15" s="3" t="s">
        <v>231</v>
      </c>
      <c r="B15" s="3"/>
      <c r="C15" s="3"/>
      <c r="D15" s="3"/>
      <c r="E15" s="3"/>
      <c r="F15" s="3"/>
      <c r="G15" s="3"/>
    </row>
    <row r="16" spans="1:16">
      <c r="A16" s="13" t="s">
        <v>232</v>
      </c>
      <c r="B16" s="13" t="s">
        <v>233</v>
      </c>
      <c r="C16" s="13" t="s">
        <v>234</v>
      </c>
      <c r="D16" s="13" t="s">
        <v>235</v>
      </c>
      <c r="E16" s="13" t="s">
        <v>236</v>
      </c>
      <c r="F16" s="13" t="s">
        <v>237</v>
      </c>
      <c r="G16" s="13" t="s">
        <v>238</v>
      </c>
    </row>
    <row r="17" spans="1:7">
      <c r="A17" s="2" t="s">
        <v>213</v>
      </c>
      <c r="B17" s="7">
        <v>1.52</v>
      </c>
      <c r="C17" s="7">
        <v>3.11038961038961</v>
      </c>
      <c r="D17" s="7">
        <v>9.199999999999999</v>
      </c>
      <c r="E17" s="7">
        <v>9.504360401503259</v>
      </c>
      <c r="F17" s="7">
        <v>13.33333333333333</v>
      </c>
      <c r="G17" s="7">
        <v>22.92307692307692</v>
      </c>
    </row>
    <row r="18" spans="1:7">
      <c r="A18" s="2" t="s">
        <v>214</v>
      </c>
      <c r="B18" s="7">
        <v>12.66666666666667</v>
      </c>
      <c r="C18" s="7">
        <v>13.75</v>
      </c>
      <c r="D18" s="7">
        <v>19.28571428571428</v>
      </c>
      <c r="E18" s="7">
        <v>24.43367346938775</v>
      </c>
      <c r="F18" s="7">
        <v>32.79166666666666</v>
      </c>
      <c r="G18" s="7">
        <v>46</v>
      </c>
    </row>
    <row r="19" spans="1:7">
      <c r="A19" s="2" t="s">
        <v>215</v>
      </c>
      <c r="B19" s="7">
        <v>27.77777777777778</v>
      </c>
      <c r="C19" s="7">
        <v>42.79269602577873</v>
      </c>
      <c r="D19" s="7">
        <v>54.16666666666667</v>
      </c>
      <c r="E19" s="7">
        <v>64.41286450710933</v>
      </c>
      <c r="F19" s="7">
        <v>84.18010752688173</v>
      </c>
      <c r="G19" s="7">
        <v>115</v>
      </c>
    </row>
    <row r="20" spans="1:7">
      <c r="A20" s="2" t="s">
        <v>216</v>
      </c>
      <c r="B20" s="7">
        <v>0.9090909090909091</v>
      </c>
      <c r="C20" s="7">
        <v>3.5</v>
      </c>
      <c r="D20" s="7">
        <v>8.181818181818182</v>
      </c>
      <c r="E20" s="7">
        <v>14.57761286332715</v>
      </c>
      <c r="F20" s="7">
        <v>12.97619047619048</v>
      </c>
      <c r="G20" s="7">
        <v>60</v>
      </c>
    </row>
    <row r="23" spans="1:7">
      <c r="A23" s="3" t="s">
        <v>239</v>
      </c>
      <c r="B23" s="3"/>
      <c r="C23" s="3"/>
      <c r="D23" s="3"/>
      <c r="E23" s="3"/>
    </row>
    <row r="24" spans="1:7">
      <c r="A24" s="13" t="s">
        <v>232</v>
      </c>
      <c r="B24" s="13" t="s">
        <v>240</v>
      </c>
      <c r="C24" s="13" t="s">
        <v>241</v>
      </c>
      <c r="D24" s="13" t="s">
        <v>242</v>
      </c>
      <c r="E24" s="13" t="s">
        <v>243</v>
      </c>
    </row>
    <row r="25" spans="1:7">
      <c r="A25" s="2" t="s">
        <v>213</v>
      </c>
      <c r="B25" t="s">
        <v>244</v>
      </c>
      <c r="C25" s="14">
        <v>326600000000</v>
      </c>
      <c r="D25" s="14">
        <v>322750000000</v>
      </c>
      <c r="E25" s="18">
        <v>288.1696428571428</v>
      </c>
    </row>
    <row r="26" spans="1:7">
      <c r="A26" s="2" t="s">
        <v>214</v>
      </c>
      <c r="B26" t="s">
        <v>245</v>
      </c>
      <c r="C26" s="14">
        <v>318214285714.2857</v>
      </c>
      <c r="D26" s="14">
        <v>314364285714.2857</v>
      </c>
      <c r="E26" s="18">
        <v>280.6823979591837</v>
      </c>
    </row>
    <row r="27" spans="1:7">
      <c r="A27" s="2" t="s">
        <v>215</v>
      </c>
      <c r="B27" t="s">
        <v>246</v>
      </c>
      <c r="C27" s="14">
        <v>395150000000.0001</v>
      </c>
      <c r="D27" s="14">
        <v>391300000000.0001</v>
      </c>
      <c r="E27" s="18">
        <v>349.3750000000001</v>
      </c>
    </row>
    <row r="28" spans="1:7">
      <c r="A28" s="2" t="s">
        <v>216</v>
      </c>
      <c r="B28" t="s">
        <v>247</v>
      </c>
      <c r="C28" s="14">
        <v>366304545454.5455</v>
      </c>
      <c r="D28" s="14">
        <v>362454545454.5455</v>
      </c>
      <c r="E28" s="18">
        <v>323.6201298701299</v>
      </c>
    </row>
  </sheetData>
  <mergeCells count="3">
    <mergeCell ref="A1:M1"/>
    <mergeCell ref="A15:G15"/>
    <mergeCell ref="A23:E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22.7109375" customWidth="1"/>
    <col min="2" max="26" width="12.7109375" customWidth="1"/>
  </cols>
  <sheetData>
    <row r="1" spans="1:7">
      <c r="A1" s="8" t="s">
        <v>248</v>
      </c>
      <c r="B1" s="8"/>
      <c r="C1" s="8"/>
      <c r="D1" s="8"/>
      <c r="E1" s="8"/>
      <c r="F1" s="8"/>
      <c r="G1" s="8"/>
    </row>
    <row r="3" spans="1:7">
      <c r="A3" s="3" t="s">
        <v>249</v>
      </c>
      <c r="B3" s="3"/>
      <c r="C3" s="3"/>
      <c r="D3" s="3"/>
      <c r="E3" s="3"/>
      <c r="F3" s="3"/>
    </row>
    <row r="4" spans="1:7">
      <c r="A4" s="13" t="s">
        <v>250</v>
      </c>
      <c r="B4" s="13" t="s">
        <v>251</v>
      </c>
      <c r="C4" s="13" t="s">
        <v>252</v>
      </c>
      <c r="D4" s="13" t="s">
        <v>253</v>
      </c>
      <c r="E4" s="13" t="s">
        <v>254</v>
      </c>
      <c r="F4" s="13" t="s">
        <v>255</v>
      </c>
    </row>
    <row r="5" spans="1:7">
      <c r="A5" s="2" t="s">
        <v>256</v>
      </c>
      <c r="B5" s="18">
        <v>63.66154227144819</v>
      </c>
      <c r="C5" s="18">
        <v>64.33666895018246</v>
      </c>
      <c r="D5" s="18">
        <v>65.06530915766862</v>
      </c>
      <c r="E5" s="18">
        <v>65.8540880419034</v>
      </c>
      <c r="F5" s="18">
        <v>66.71077144440909</v>
      </c>
    </row>
    <row r="6" spans="1:7">
      <c r="A6" s="2" t="s">
        <v>257</v>
      </c>
      <c r="B6" s="18">
        <v>61.12085487743965</v>
      </c>
      <c r="C6" s="18">
        <v>61.69461657765958</v>
      </c>
      <c r="D6" s="18">
        <v>62.3105170631483</v>
      </c>
      <c r="E6" s="18">
        <v>62.9733754996502</v>
      </c>
      <c r="F6" s="18">
        <v>63.68877502972388</v>
      </c>
    </row>
    <row r="7" spans="1:7">
      <c r="A7" s="2" t="s">
        <v>258</v>
      </c>
      <c r="B7" s="18">
        <v>58.8070878649119</v>
      </c>
      <c r="C7" s="18">
        <v>59.29950926836292</v>
      </c>
      <c r="D7" s="18">
        <v>59.82562124402598</v>
      </c>
      <c r="E7" s="18">
        <v>60.38900383287003</v>
      </c>
      <c r="F7" s="18">
        <v>60.99376293382074</v>
      </c>
    </row>
    <row r="8" spans="1:7">
      <c r="A8" s="2" t="s">
        <v>259</v>
      </c>
      <c r="B8" s="18">
        <v>56.68314902032493</v>
      </c>
      <c r="C8" s="18">
        <v>57.1094023135111</v>
      </c>
      <c r="D8" s="18">
        <v>57.56295153991872</v>
      </c>
      <c r="E8" s="18">
        <v>58.04650534600401</v>
      </c>
      <c r="F8" s="18">
        <v>58.56314301950074</v>
      </c>
    </row>
    <row r="9" spans="1:7">
      <c r="A9" s="2" t="s">
        <v>260</v>
      </c>
      <c r="B9" s="18">
        <v>54.72021331322591</v>
      </c>
      <c r="C9" s="18">
        <v>55.09199285418695</v>
      </c>
      <c r="D9" s="18">
        <v>55.4861471869728</v>
      </c>
      <c r="E9" s="18">
        <v>55.90475884991415</v>
      </c>
      <c r="F9" s="18">
        <v>56.35017709987785</v>
      </c>
    </row>
    <row r="12" spans="1:7">
      <c r="A12" s="3" t="s">
        <v>261</v>
      </c>
      <c r="B12" s="3"/>
      <c r="C12" s="3"/>
      <c r="D12" s="3"/>
      <c r="E12" s="3"/>
      <c r="F12" s="3"/>
    </row>
    <row r="13" spans="1:7">
      <c r="A13" s="13" t="s">
        <v>262</v>
      </c>
      <c r="B13" s="13" t="s">
        <v>263</v>
      </c>
      <c r="C13" s="13" t="s">
        <v>264</v>
      </c>
      <c r="D13" s="13" t="s">
        <v>265</v>
      </c>
      <c r="E13" s="13" t="s">
        <v>266</v>
      </c>
      <c r="F13" s="13" t="s">
        <v>267</v>
      </c>
    </row>
    <row r="14" spans="1:7">
      <c r="A14" s="2" t="s">
        <v>263</v>
      </c>
      <c r="B14" s="6">
        <v>0.1316919090059703</v>
      </c>
      <c r="C14" s="6">
        <v>0.1619847869539808</v>
      </c>
      <c r="D14" s="6">
        <v>0.1894130435686627</v>
      </c>
      <c r="E14" s="6">
        <v>0.2145223604835724</v>
      </c>
      <c r="F14" s="6">
        <v>0.2377120651455717</v>
      </c>
    </row>
    <row r="15" spans="1:7">
      <c r="A15" s="2" t="s">
        <v>264</v>
      </c>
      <c r="B15" s="6">
        <v>0.0882674587004393</v>
      </c>
      <c r="C15" s="6">
        <v>0.1173979605966315</v>
      </c>
      <c r="D15" s="6">
        <v>0.1437737603042233</v>
      </c>
      <c r="E15" s="6">
        <v>0.1679196009621231</v>
      </c>
      <c r="F15" s="6">
        <v>0.1902194873178489</v>
      </c>
    </row>
    <row r="16" spans="1:7">
      <c r="A16" s="2" t="s">
        <v>265</v>
      </c>
      <c r="B16" s="6">
        <v>0.05324563414119776</v>
      </c>
      <c r="C16" s="6">
        <v>0.08143867960737851</v>
      </c>
      <c r="D16" s="6">
        <v>0.1069656726888195</v>
      </c>
      <c r="E16" s="6">
        <v>0.130334469625899</v>
      </c>
      <c r="F16" s="6">
        <v>0.1519167174072125</v>
      </c>
    </row>
    <row r="17" spans="1:6">
      <c r="A17" s="2" t="s">
        <v>266</v>
      </c>
      <c r="B17" s="6">
        <v>0.02405625411063461</v>
      </c>
      <c r="C17" s="6">
        <v>0.05146796472798676</v>
      </c>
      <c r="D17" s="6">
        <v>0.07628750925427741</v>
      </c>
      <c r="E17" s="6">
        <v>0.09900866933197427</v>
      </c>
      <c r="F17" s="6">
        <v>0.1199927922201178</v>
      </c>
    </row>
    <row r="18" spans="1:6">
      <c r="A18" s="2" t="s">
        <v>267</v>
      </c>
      <c r="B18" s="6">
        <v>-0.0008659550607521549</v>
      </c>
      <c r="C18" s="6">
        <v>0.0258786433906335</v>
      </c>
      <c r="D18" s="6">
        <v>0.05009416066965144</v>
      </c>
      <c r="E18" s="6">
        <v>0.07226236137446262</v>
      </c>
      <c r="F18" s="6">
        <v>0.09273579874333195</v>
      </c>
    </row>
    <row r="21" spans="1:6">
      <c r="A21" s="3" t="s">
        <v>268</v>
      </c>
      <c r="B21" s="3"/>
      <c r="C21" s="3"/>
      <c r="D21" s="3"/>
      <c r="E21" s="3"/>
      <c r="F21" s="3"/>
    </row>
    <row r="22" spans="1:6">
      <c r="A22" s="13" t="s">
        <v>269</v>
      </c>
      <c r="B22" s="13" t="s">
        <v>270</v>
      </c>
      <c r="C22" s="13" t="s">
        <v>271</v>
      </c>
      <c r="D22" s="13" t="s">
        <v>272</v>
      </c>
      <c r="E22" s="13" t="s">
        <v>273</v>
      </c>
      <c r="F22" s="13" t="s">
        <v>274</v>
      </c>
    </row>
    <row r="23" spans="1:6">
      <c r="A23" s="2" t="s">
        <v>275</v>
      </c>
      <c r="B23" s="6">
        <v>-0.03744023199803503</v>
      </c>
      <c r="C23" s="6">
        <v>-0.02863513914590765</v>
      </c>
      <c r="D23" s="6">
        <v>-0.01983004629378038</v>
      </c>
      <c r="E23" s="6">
        <v>-0.01102495344165311</v>
      </c>
      <c r="F23" s="6">
        <v>-0.002219860589525724</v>
      </c>
    </row>
    <row r="24" spans="1:6">
      <c r="A24" s="2" t="s">
        <v>276</v>
      </c>
      <c r="B24" s="6">
        <v>-0.04266924551655837</v>
      </c>
      <c r="C24" s="6">
        <v>-0.03391125081182789</v>
      </c>
      <c r="D24" s="6">
        <v>-0.02515325610709729</v>
      </c>
      <c r="E24" s="6">
        <v>-0.01639526140236669</v>
      </c>
      <c r="F24" s="6">
        <v>-0.007637266697636313</v>
      </c>
    </row>
    <row r="25" spans="1:6">
      <c r="A25" s="2" t="s">
        <v>277</v>
      </c>
      <c r="B25" s="6">
        <v>-0.04784261702522263</v>
      </c>
      <c r="C25" s="6">
        <v>-0.03913121929580887</v>
      </c>
      <c r="D25" s="6">
        <v>-0.03041982156639511</v>
      </c>
      <c r="E25" s="6">
        <v>-0.02170842383698135</v>
      </c>
      <c r="F25" s="6">
        <v>-0.01299702610756759</v>
      </c>
    </row>
    <row r="26" spans="1:6">
      <c r="A26" s="2" t="s">
        <v>278</v>
      </c>
      <c r="B26" s="6">
        <v>-0.05296122995489682</v>
      </c>
      <c r="C26" s="6">
        <v>-0.0442959359858529</v>
      </c>
      <c r="D26" s="6">
        <v>-0.0356306420168091</v>
      </c>
      <c r="E26" s="6">
        <v>-0.02696534804776518</v>
      </c>
      <c r="F26" s="6">
        <v>-0.01830005407872126</v>
      </c>
    </row>
    <row r="27" spans="1:6">
      <c r="A27" s="2" t="s">
        <v>279</v>
      </c>
      <c r="B27" s="6">
        <v>-0.05802594913320568</v>
      </c>
      <c r="C27" s="6">
        <v>-0.04940627349915704</v>
      </c>
      <c r="D27" s="6">
        <v>-0.04078659786510864</v>
      </c>
      <c r="E27" s="6">
        <v>-0.0321669222310601</v>
      </c>
      <c r="F27" s="6">
        <v>-0.02354724659701168</v>
      </c>
    </row>
  </sheetData>
  <mergeCells count="4">
    <mergeCell ref="A1:G1"/>
    <mergeCell ref="A3:F3"/>
    <mergeCell ref="A12:F12"/>
    <mergeCell ref="A21:F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28.7109375" customWidth="1"/>
    <col min="2" max="5" width="16.7109375" customWidth="1"/>
  </cols>
  <sheetData>
    <row r="1" spans="1:5">
      <c r="A1" s="8" t="s">
        <v>280</v>
      </c>
      <c r="B1" s="8"/>
      <c r="C1" s="8"/>
      <c r="D1" s="8"/>
      <c r="E1" s="8"/>
    </row>
    <row r="3" spans="1:5">
      <c r="A3" s="13" t="s">
        <v>132</v>
      </c>
      <c r="B3" s="13" t="s">
        <v>281</v>
      </c>
      <c r="C3" s="13" t="s">
        <v>282</v>
      </c>
      <c r="D3" s="13" t="s">
        <v>283</v>
      </c>
      <c r="E3" s="13" t="s">
        <v>284</v>
      </c>
    </row>
    <row r="4" spans="1:5">
      <c r="A4" s="2" t="s">
        <v>285</v>
      </c>
      <c r="B4" s="18">
        <v>56.34361163940462</v>
      </c>
      <c r="C4" s="18">
        <v>92.11525133244834</v>
      </c>
      <c r="D4" s="18">
        <v>127.8868910254921</v>
      </c>
      <c r="E4" s="4" t="s">
        <v>286</v>
      </c>
    </row>
    <row r="5" spans="1:5">
      <c r="A5" s="2" t="s">
        <v>287</v>
      </c>
      <c r="B5" s="18">
        <v>50.85177805742208</v>
      </c>
      <c r="C5" s="18">
        <v>59.82562124402598</v>
      </c>
      <c r="D5" s="18">
        <v>68.79946443062987</v>
      </c>
      <c r="E5" s="4" t="s">
        <v>288</v>
      </c>
    </row>
    <row r="6" spans="1:5">
      <c r="A6" s="2" t="s">
        <v>289</v>
      </c>
      <c r="B6" s="18">
        <v>238.5800382653061</v>
      </c>
      <c r="C6" s="18">
        <v>280.6823979591837</v>
      </c>
      <c r="D6" s="18">
        <v>322.7847576530612</v>
      </c>
      <c r="E6" s="4" t="s">
        <v>290</v>
      </c>
    </row>
    <row r="7" spans="1:5">
      <c r="A7" s="2" t="s">
        <v>291</v>
      </c>
      <c r="B7" s="18">
        <v>93.37552168780064</v>
      </c>
      <c r="C7" s="18">
        <v>98.29002282926383</v>
      </c>
      <c r="D7" s="18">
        <v>103.204523970727</v>
      </c>
      <c r="E7" s="4" t="s">
        <v>292</v>
      </c>
    </row>
    <row r="10" spans="1:5">
      <c r="A10" s="17" t="s">
        <v>293</v>
      </c>
      <c r="B10" s="18">
        <f>px</f>
        <v>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00.7109375" customWidth="1"/>
  </cols>
  <sheetData>
    <row r="1" spans="1:1">
      <c r="A1" s="8" t="s">
        <v>294</v>
      </c>
    </row>
    <row r="2" spans="1:1">
      <c r="A2" s="4" t="s">
        <v>295</v>
      </c>
    </row>
    <row r="4" spans="1:1">
      <c r="A4" s="4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36</vt:i4>
      </vt:variant>
    </vt:vector>
  </HeadingPairs>
  <TitlesOfParts>
    <vt:vector size="47" baseType="lpstr">
      <vt:lpstr>Cover</vt:lpstr>
      <vt:lpstr>Drivers</vt:lpstr>
      <vt:lpstr>Historicals</vt:lpstr>
      <vt:lpstr>Forecast</vt:lpstr>
      <vt:lpstr>DCF</vt:lpstr>
      <vt:lpstr>LBO</vt:lpstr>
      <vt:lpstr>M&amp;A</vt:lpstr>
      <vt:lpstr>Comps</vt:lpstr>
      <vt:lpstr>Sensitivity</vt:lpstr>
      <vt:lpstr>Football</vt:lpstr>
      <vt:lpstr>Notes</vt:lpstr>
      <vt:lpstr>ib_beta</vt:lpstr>
      <vt:lpstr>ib_cxpct</vt:lpstr>
      <vt:lpstr>ib_dapct</vt:lpstr>
      <vt:lpstr>ib_EBDA1</vt:lpstr>
      <vt:lpstr>ib_EBDA2</vt:lpstr>
      <vt:lpstr>ib_EBDA3</vt:lpstr>
      <vt:lpstr>ib_EBDA4</vt:lpstr>
      <vt:lpstr>ib_EBDA5</vt:lpstr>
      <vt:lpstr>ib_ebmgn</vt:lpstr>
      <vt:lpstr>ib_entrym</vt:lpstr>
      <vt:lpstr>ib_erp</vt:lpstr>
      <vt:lpstr>ib_exitm</vt:lpstr>
      <vt:lpstr>ib_FCF1</vt:lpstr>
      <vt:lpstr>ib_FCF2</vt:lpstr>
      <vt:lpstr>ib_FCF3</vt:lpstr>
      <vt:lpstr>ib_FCF4</vt:lpstr>
      <vt:lpstr>ib_FCF5</vt:lpstr>
      <vt:lpstr>ib_grw1</vt:lpstr>
      <vt:lpstr>ib_grw2</vt:lpstr>
      <vt:lpstr>ib_grw3</vt:lpstr>
      <vt:lpstr>ib_grw4</vt:lpstr>
      <vt:lpstr>ib_grw5</vt:lpstr>
      <vt:lpstr>ib_hold</vt:lpstr>
      <vt:lpstr>ib_kdLBO</vt:lpstr>
      <vt:lpstr>ib_leverage</vt:lpstr>
      <vt:lpstr>ib_netdebt</vt:lpstr>
      <vt:lpstr>ib_nwcpct</vt:lpstr>
      <vt:lpstr>ib_px</vt:lpstr>
      <vt:lpstr>ib_rf</vt:lpstr>
      <vt:lpstr>ib_shares</vt:lpstr>
      <vt:lpstr>ib_spread</vt:lpstr>
      <vt:lpstr>ib_sweep</vt:lpstr>
      <vt:lpstr>ib_tax</vt:lpstr>
      <vt:lpstr>ib_tg</vt:lpstr>
      <vt:lpstr>ib_WACC</vt:lpstr>
      <vt:lpstr>ib_wd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2026-05-01T18:56:15Z</dcterms:created>
  <dcterms:modified xsi:type="dcterms:W3CDTF">2026-05-01T18:56:15Z</dcterms:modified>
</cp:coreProperties>
</file>