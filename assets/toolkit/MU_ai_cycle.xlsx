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over" sheetId="1" state="visible" r:id="rId1"/>
    <sheet xmlns:r="http://schemas.openxmlformats.org/officeDocument/2006/relationships" name="Drivers" sheetId="2" state="visible" r:id="rId2"/>
    <sheet xmlns:r="http://schemas.openxmlformats.org/officeDocument/2006/relationships" name="Data Sources" sheetId="3" state="visible" r:id="rId3"/>
    <sheet xmlns:r="http://schemas.openxmlformats.org/officeDocument/2006/relationships" name="Historicals" sheetId="4" state="visible" r:id="rId4"/>
    <sheet xmlns:r="http://schemas.openxmlformats.org/officeDocument/2006/relationships" name="Cycle Diagnostic" sheetId="5" state="visible" r:id="rId5"/>
    <sheet xmlns:r="http://schemas.openxmlformats.org/officeDocument/2006/relationships" name="Forecast" sheetId="6" state="visible" r:id="rId6"/>
    <sheet xmlns:r="http://schemas.openxmlformats.org/officeDocument/2006/relationships" name="3-Statement" sheetId="7" state="visible" r:id="rId7"/>
    <sheet xmlns:r="http://schemas.openxmlformats.org/officeDocument/2006/relationships" name="DCF" sheetId="8" state="visible" r:id="rId8"/>
    <sheet xmlns:r="http://schemas.openxmlformats.org/officeDocument/2006/relationships" name="LBO" sheetId="9" state="visible" r:id="rId9"/>
    <sheet xmlns:r="http://schemas.openxmlformats.org/officeDocument/2006/relationships" name="Returns Attribution" sheetId="10" state="visible" r:id="rId10"/>
    <sheet xmlns:r="http://schemas.openxmlformats.org/officeDocument/2006/relationships" name="M&amp;A" sheetId="11" state="visible" r:id="rId11"/>
    <sheet xmlns:r="http://schemas.openxmlformats.org/officeDocument/2006/relationships" name="Comps" sheetId="12" state="visible" r:id="rId12"/>
    <sheet xmlns:r="http://schemas.openxmlformats.org/officeDocument/2006/relationships" name="Sensitivity" sheetId="13" state="visible" r:id="rId13"/>
    <sheet xmlns:r="http://schemas.openxmlformats.org/officeDocument/2006/relationships" name="Football" sheetId="14" state="visible" r:id="rId14"/>
    <sheet xmlns:r="http://schemas.openxmlformats.org/officeDocument/2006/relationships" name="Reverse-DCF" sheetId="15" state="visible" r:id="rId15"/>
    <sheet xmlns:r="http://schemas.openxmlformats.org/officeDocument/2006/relationships" name="Reverse-LBO" sheetId="16" state="visible" r:id="rId16"/>
    <sheet xmlns:r="http://schemas.openxmlformats.org/officeDocument/2006/relationships" name="Sanity Checks" sheetId="17" state="visible" r:id="rId17"/>
    <sheet xmlns:r="http://schemas.openxmlformats.org/officeDocument/2006/relationships" name="Notes" sheetId="18" state="visible" r:id="rId18"/>
  </sheets>
  <definedNames>
    <definedName name="ib_betaT">Drivers!$B$26</definedName>
    <definedName name="ib_cxpct">Drivers!$B$18</definedName>
    <definedName name="ib_dapct">Drivers!$B$17</definedName>
    <definedName name="ib_EBDA1">Forecast!$C$5</definedName>
    <definedName name="ib_EBDA2">Forecast!$D$5</definedName>
    <definedName name="ib_EBDA3">Forecast!$E$5</definedName>
    <definedName name="ib_EBDA4">Forecast!$F$5</definedName>
    <definedName name="ib_EBDA5">Forecast!$G$5</definedName>
    <definedName name="ib_ebmgn">Drivers!$B$16</definedName>
    <definedName name="ib_entrym">Drivers!$B$35</definedName>
    <definedName name="ib_erp">Drivers!$B$24</definedName>
    <definedName name="ib_exitm">Drivers!$B$32</definedName>
    <definedName name="ib_FCF1">Forecast!$C$13</definedName>
    <definedName name="ib_FCF2">Forecast!$D$13</definedName>
    <definedName name="ib_FCF3">Forecast!$E$13</definedName>
    <definedName name="ib_FCF4">Forecast!$F$13</definedName>
    <definedName name="ib_FCF5">Forecast!$G$13</definedName>
    <definedName name="ib_grw1">Drivers!$B$11</definedName>
    <definedName name="ib_grw2">Drivers!$B$12</definedName>
    <definedName name="ib_grw3">Drivers!$B$13</definedName>
    <definedName name="ib_grw4">Drivers!$B$14</definedName>
    <definedName name="ib_grw5">Drivers!$B$15</definedName>
    <definedName name="ib_hold">Drivers!$B$38</definedName>
    <definedName name="ib_kdLBO">Drivers!$B$37</definedName>
    <definedName name="ib_leverage">Drivers!$B$36</definedName>
    <definedName name="ib_netdebt">Drivers!$B$7</definedName>
    <definedName name="ib_nwcpct">Drivers!$B$19</definedName>
    <definedName name="ib_px">Drivers!$B$6</definedName>
    <definedName name="ib_rf">Drivers!$B$23</definedName>
    <definedName name="ib_shares">Drivers!$B$5</definedName>
    <definedName name="ib_spread">Drivers!$B$27</definedName>
    <definedName name="ib_sweep">Drivers!$B$39</definedName>
    <definedName name="ib_tax">Drivers!$B$20</definedName>
    <definedName name="ib_tg">Drivers!$B$31</definedName>
    <definedName name="ib_WACC">DCF!$B$13</definedName>
    <definedName name="ib_wd">Drivers!$B$28</definedName>
  </definedNames>
  <calcPr calcId="124519" fullCalcOnLoad="1"/>
</workbook>
</file>

<file path=xl/styles.xml><?xml version="1.0" encoding="utf-8"?>
<styleSheet xmlns="http://schemas.openxmlformats.org/spreadsheetml/2006/main">
  <numFmts count="8">
    <numFmt numFmtId="164" formatCode="0.0%"/>
    <numFmt numFmtId="165" formatCode="0.00&quot;x&quot;"/>
    <numFmt numFmtId="166" formatCode="_($* #,##0.0,,,_);_($* (#,##0.0,,,);_($* &quot;-&quot;??_);_(@_)"/>
    <numFmt numFmtId="167" formatCode="#,##0,,"/>
    <numFmt numFmtId="168" formatCode="_($* #,##0.0,,,_);[Red]_($* (#,##0.0,,,)"/>
    <numFmt numFmtId="169" formatCode="$#,##0.00"/>
    <numFmt numFmtId="170" formatCode="#,##0&quot; bps&quot;"/>
    <numFmt numFmtId="171" formatCode="0.00&quot;×&quot;"/>
  </numFmts>
  <fonts count="20">
    <font>
      <name val="Calibri"/>
      <family val="2"/>
      <color theme="1"/>
      <sz val="11"/>
      <scheme val="minor"/>
    </font>
    <font>
      <name val="Calibri"/>
      <family val="2"/>
      <b val="1"/>
      <color rgb="FF0B3D91"/>
      <sz val="16"/>
      <scheme val="minor"/>
    </font>
    <font>
      <name val="Calibri"/>
      <family val="2"/>
      <b val="1"/>
      <color theme="1"/>
      <sz val="11"/>
      <scheme val="minor"/>
    </font>
    <font>
      <name val="Calibri"/>
      <family val="2"/>
      <b val="1"/>
      <color rgb="FFFFFFFF"/>
      <sz val="12"/>
      <scheme val="minor"/>
    </font>
    <font>
      <name val="Calibri"/>
      <family val="2"/>
      <i val="1"/>
      <color rgb="FF7F2700"/>
      <sz val="11"/>
      <scheme val="minor"/>
    </font>
    <font>
      <name val="Calibri"/>
      <family val="2"/>
      <i val="1"/>
      <color rgb="FF666666"/>
      <sz val="11"/>
      <scheme val="minor"/>
    </font>
    <font>
      <name val="Calibri"/>
      <family val="2"/>
      <b val="1"/>
      <color rgb="FFFFFFFF"/>
      <sz val="14"/>
      <scheme val="minor"/>
    </font>
    <font>
      <name val="Calibri"/>
      <family val="2"/>
      <i val="1"/>
      <color rgb="FF0B3D91"/>
      <sz val="11"/>
      <scheme val="minor"/>
    </font>
    <font>
      <name val="Calibri"/>
      <family val="2"/>
      <b val="1"/>
      <color rgb="FF0B3D91"/>
      <sz val="11"/>
      <scheme val="minor"/>
    </font>
    <font>
      <b val="1"/>
      <color rgb="FFFFFFFF"/>
      <sz val="14"/>
    </font>
    <font>
      <b val="1"/>
      <color rgb="FFFFFFFF"/>
      <sz val="12"/>
    </font>
    <font>
      <b val="1"/>
    </font>
    <font>
      <i val="1"/>
      <color rgb="FF666666"/>
    </font>
    <font>
      <i val="1"/>
    </font>
    <font>
      <i val="1"/>
      <color rgb="FF7F2700"/>
    </font>
    <font>
      <i val="1"/>
      <color rgb="FF666666"/>
      <sz val="9"/>
    </font>
    <font>
      <i val="1"/>
      <color rgb="FF7F2700"/>
      <sz val="9"/>
    </font>
    <font>
      <b val="1"/>
      <color rgb="FF7F2700"/>
    </font>
    <font>
      <b val="1"/>
      <color rgb="FFB0432A"/>
    </font>
    <font>
      <name val="Consolas"/>
      <b val="1"/>
      <color rgb="FF0B3D91"/>
    </font>
  </fonts>
  <fills count="16">
    <fill>
      <patternFill/>
    </fill>
    <fill>
      <patternFill patternType="gray125"/>
    </fill>
    <fill>
      <patternFill patternType="solid">
        <fgColor rgb="FF1F4E79"/>
        <bgColor indexed="64"/>
      </patternFill>
    </fill>
    <fill>
      <patternFill patternType="solid">
        <fgColor rgb="FFE2EFDA"/>
        <bgColor indexed="64"/>
      </patternFill>
    </fill>
    <fill>
      <patternFill patternType="solid">
        <fgColor rgb="FFFCE4D6"/>
        <bgColor indexed="64"/>
      </patternFill>
    </fill>
    <fill>
      <patternFill patternType="solid">
        <fgColor rgb="FF0B3D91"/>
        <bgColor indexed="64"/>
      </patternFill>
    </fill>
    <fill>
      <patternFill patternType="solid">
        <fgColor rgb="FFFFF2CC"/>
        <bgColor indexed="64"/>
      </patternFill>
    </fill>
    <fill>
      <patternFill patternType="solid">
        <fgColor rgb="FFD9E1F2"/>
        <bgColor indexed="64"/>
      </patternFill>
    </fill>
    <fill>
      <patternFill patternType="solid">
        <fgColor rgb="FFDDEBF7"/>
        <bgColor indexed="64"/>
      </patternFill>
    </fill>
    <fill>
      <patternFill patternType="solid">
        <fgColor rgb="FF0B3D91"/>
      </patternFill>
    </fill>
    <fill>
      <patternFill patternType="solid">
        <fgColor rgb="FF1F4E79"/>
      </patternFill>
    </fill>
    <fill>
      <patternFill patternType="solid">
        <fgColor rgb="FFE2EFDA"/>
      </patternFill>
    </fill>
    <fill>
      <patternFill patternType="solid">
        <fgColor rgb="FFD9E1F2"/>
      </patternFill>
    </fill>
    <fill>
      <patternFill patternType="solid">
        <fgColor rgb="FFFCE4D6"/>
      </patternFill>
    </fill>
    <fill>
      <patternFill patternType="solid">
        <fgColor rgb="FFFFF2CC"/>
      </patternFill>
    </fill>
    <fill>
      <patternFill patternType="solid">
        <fgColor rgb="FFB0432A"/>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applyAlignment="1" pivotButton="0" quotePrefix="0" xfId="0">
      <alignment horizontal="left"/>
    </xf>
    <xf numFmtId="164" fontId="0" fillId="0" borderId="0" pivotButton="0" quotePrefix="0" xfId="0"/>
    <xf numFmtId="0" fontId="3" fillId="2" borderId="1" applyAlignment="1" pivotButton="0" quotePrefix="0" xfId="0">
      <alignment horizontal="left"/>
    </xf>
    <xf numFmtId="4" fontId="0" fillId="0" borderId="0" pivotButton="0" quotePrefix="0" xfId="0"/>
    <xf numFmtId="4" fontId="2" fillId="3" borderId="1" pivotButton="0" quotePrefix="0" xfId="0"/>
    <xf numFmtId="10" fontId="2" fillId="3" borderId="1" pivotButton="0" quotePrefix="0" xfId="0"/>
    <xf numFmtId="165" fontId="0" fillId="0" borderId="0" pivotButton="0" quotePrefix="0" xfId="0"/>
    <xf numFmtId="0" fontId="4" fillId="4" borderId="0" pivotButton="0" quotePrefix="0" xfId="0"/>
    <xf numFmtId="0" fontId="5" fillId="0" borderId="0" applyAlignment="1" pivotButton="0" quotePrefix="0" xfId="0">
      <alignment vertical="top" wrapText="1"/>
    </xf>
    <xf numFmtId="0" fontId="6" fillId="5" borderId="1" applyAlignment="1" pivotButton="0" quotePrefix="0" xfId="0">
      <alignment horizontal="left"/>
    </xf>
    <xf numFmtId="3" fontId="7" fillId="6" borderId="1" pivotButton="0" quotePrefix="0" xfId="0"/>
    <xf numFmtId="2" fontId="7" fillId="6" borderId="1" pivotButton="0" quotePrefix="0" xfId="0"/>
    <xf numFmtId="166" fontId="0" fillId="0" borderId="0" pivotButton="0" quotePrefix="0" xfId="0"/>
    <xf numFmtId="10" fontId="7" fillId="6" borderId="1" pivotButton="0" quotePrefix="0" xfId="0"/>
    <xf numFmtId="0" fontId="2" fillId="7" borderId="1" applyAlignment="1" pivotButton="0" quotePrefix="0" xfId="0">
      <alignment horizontal="center"/>
    </xf>
    <xf numFmtId="167" fontId="0" fillId="0" borderId="0" pivotButton="0" quotePrefix="0" xfId="0"/>
    <xf numFmtId="3" fontId="0" fillId="0" borderId="0" pivotButton="0" quotePrefix="0" xfId="0"/>
    <xf numFmtId="0" fontId="8" fillId="0" borderId="0" pivotButton="0" quotePrefix="0" xfId="0"/>
    <xf numFmtId="10" fontId="0" fillId="0" borderId="0" pivotButton="0" quotePrefix="0" xfId="0"/>
    <xf numFmtId="0" fontId="0" fillId="8" borderId="0" pivotButton="0" quotePrefix="0" xfId="0"/>
    <xf numFmtId="0" fontId="0" fillId="0" borderId="4" pivotButton="0" quotePrefix="0" xfId="0"/>
    <xf numFmtId="4" fontId="0" fillId="0" borderId="0" pivotButton="0" quotePrefix="0" xfId="0"/>
    <xf numFmtId="4" fontId="2" fillId="3" borderId="1" pivotButton="0" quotePrefix="0" xfId="0"/>
    <xf numFmtId="10" fontId="2" fillId="3" borderId="1" pivotButton="0" quotePrefix="0" xfId="0"/>
    <xf numFmtId="165" fontId="0" fillId="0" borderId="0" pivotButton="0" quotePrefix="0" xfId="0"/>
    <xf numFmtId="0" fontId="0" fillId="0" borderId="5" pivotButton="0" quotePrefix="0" xfId="0"/>
    <xf numFmtId="3" fontId="7" fillId="6" borderId="1" pivotButton="0" quotePrefix="0" xfId="0"/>
    <xf numFmtId="2" fontId="7" fillId="6" borderId="1" pivotButton="0" quotePrefix="0" xfId="0"/>
    <xf numFmtId="166" fontId="0" fillId="0" borderId="0" pivotButton="0" quotePrefix="0" xfId="0"/>
    <xf numFmtId="10" fontId="7" fillId="6" borderId="1" pivotButton="0" quotePrefix="0" xfId="0"/>
    <xf numFmtId="167" fontId="0" fillId="0" borderId="0" pivotButton="0" quotePrefix="0" xfId="0"/>
    <xf numFmtId="3" fontId="0" fillId="0" borderId="0" pivotButton="0" quotePrefix="0" xfId="0"/>
    <xf numFmtId="10" fontId="0" fillId="0" borderId="0" pivotButton="0" quotePrefix="0" xfId="0"/>
    <xf numFmtId="0" fontId="9" fillId="9" borderId="0" pivotButton="0" quotePrefix="0" xfId="0"/>
    <xf numFmtId="0" fontId="10" fillId="10" borderId="0" pivotButton="0" quotePrefix="0" xfId="0"/>
    <xf numFmtId="0" fontId="11" fillId="0" borderId="0" pivotButton="0" quotePrefix="0" xfId="0"/>
    <xf numFmtId="168" fontId="11" fillId="0" borderId="0" pivotButton="0" quotePrefix="0" xfId="0"/>
    <xf numFmtId="169" fontId="11" fillId="0" borderId="0" pivotButton="0" quotePrefix="0" xfId="0"/>
    <xf numFmtId="10" fontId="11" fillId="11" borderId="0" pivotButton="0" quotePrefix="0" xfId="0"/>
    <xf numFmtId="170" fontId="11" fillId="0" borderId="0" pivotButton="0" quotePrefix="0" xfId="0"/>
    <xf numFmtId="164" fontId="11" fillId="11" borderId="0" pivotButton="0" quotePrefix="0" xfId="0"/>
    <xf numFmtId="0" fontId="12" fillId="0" borderId="0" applyAlignment="1" pivotButton="0" quotePrefix="0" xfId="0">
      <alignment vertical="top" wrapText="1"/>
    </xf>
    <xf numFmtId="0" fontId="11" fillId="12" borderId="0" pivotButton="0" quotePrefix="0" xfId="0"/>
    <xf numFmtId="0" fontId="11" fillId="12" borderId="0" applyAlignment="1" pivotButton="0" quotePrefix="0" xfId="0">
      <alignment horizontal="center"/>
    </xf>
    <xf numFmtId="171" fontId="0" fillId="13" borderId="0" pivotButton="0" quotePrefix="0" xfId="0"/>
    <xf numFmtId="171" fontId="0" fillId="0" borderId="0" pivotButton="0" quotePrefix="0" xfId="0"/>
    <xf numFmtId="171" fontId="0" fillId="14" borderId="0" pivotButton="0" quotePrefix="0" xfId="0"/>
    <xf numFmtId="164" fontId="0" fillId="11" borderId="0" pivotButton="0" quotePrefix="0" xfId="0"/>
    <xf numFmtId="0" fontId="13" fillId="0" borderId="0" pivotButton="0" quotePrefix="0" xfId="0"/>
    <xf numFmtId="0" fontId="9" fillId="15" borderId="0" applyAlignment="1" pivotButton="0" quotePrefix="0" xfId="0">
      <alignment horizontal="left" vertical="center"/>
    </xf>
    <xf numFmtId="0" fontId="14" fillId="13" borderId="0" applyAlignment="1" pivotButton="0" quotePrefix="0" xfId="0">
      <alignment vertical="top" wrapText="1"/>
    </xf>
    <xf numFmtId="0" fontId="15" fillId="0" borderId="0" pivotButton="0" quotePrefix="0" xfId="0"/>
    <xf numFmtId="0" fontId="16" fillId="0" borderId="0" pivotButton="0" quotePrefix="0" xfId="0"/>
    <xf numFmtId="0" fontId="17" fillId="0" borderId="0" pivotButton="0" quotePrefix="0" xfId="0"/>
    <xf numFmtId="0" fontId="18" fillId="13" borderId="0" pivotButton="0" quotePrefix="0" xfId="0"/>
    <xf numFmtId="0" fontId="19"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Football Field — $/Share</a:t>
            </a:r>
          </a:p>
        </rich>
      </tx>
      <layout/>
    </title>
    <plotArea>
      <layout/>
      <barChart>
        <barDir val="bar"/>
        <grouping val="clustered"/>
        <ser>
          <idx val="0"/>
          <order val="0"/>
          <tx>
            <v>Range (Low → High)</v>
          </tx>
          <spPr>
            <a:solidFill xmlns:a="http://schemas.openxmlformats.org/drawingml/2006/main">
              <a:srgbClr val="0B3D91"/>
            </a:solidFill>
            <a:ln xmlns:a="http://schemas.openxmlformats.org/drawingml/2006/main">
              <a:prstDash val="solid"/>
            </a:ln>
          </spPr>
          <cat>
            <strRef>
              <f>Football!$A$5:$A$9</f>
              <strCache>
                <ptCount val="5"/>
                <pt idx="0">
                  <v>52-Week Trading Range</v>
                </pt>
                <pt idx="1">
                  <v>DCF (WACC ±100bps)</v>
                </pt>
                <pt idx="2">
                  <v>Comps EV/EBITDA (p25 / median / p75)</v>
                </pt>
                <pt idx="3">
                  <v>Comps P/E (p25 / median / p75)</v>
                </pt>
                <pt idx="4">
                  <v>LBO (sponsor IRR 25% → 15%)</v>
                </pt>
              </strCache>
            </strRef>
          </cat>
          <val>
            <numRef>
              <f>Football!$D$5:$D$9</f>
              <numCache>
                <formatCode>General</formatCode>
                <ptCount val="5"/>
                <pt idx="0">
                  <v>127.8868910254921</v>
                </pt>
                <pt idx="1">
                  <v>143.5086549056367</v>
                </pt>
                <pt idx="2">
                  <v>478.2067597153804</v>
                </pt>
                <pt idx="3">
                  <v>542.9616935483872</v>
                </pt>
                <pt idx="4">
                  <v>182.0836466150662</v>
                </pt>
              </numCache>
            </numRef>
          </val>
        </ser>
        <gapWidth val="150"/>
        <axId val="50010001"/>
        <axId val="50010002"/>
      </barChart>
      <catAx>
        <axId val="50010001"/>
        <scaling>
          <orientation val="minMax"/>
        </scaling>
        <axPos val="l"/>
        <majorTickMark val="none"/>
        <minorTickMark val="none"/>
        <tickLblPos val="nextTo"/>
        <crossAx val="50010002"/>
        <crosses val="autoZero"/>
        <auto val="1"/>
        <lblAlgn val="ctr"/>
        <lblOffset val="100"/>
      </catAx>
      <valAx>
        <axId val="50010002"/>
        <scaling>
          <orientation val="minMax"/>
        </scaling>
        <axPos val="b"/>
        <majorGridlines/>
        <numFmt formatCode="General" sourceLinked="1"/>
        <majorTickMark val="none"/>
        <minorTickMark val="none"/>
        <tickLblPos val="nextTo"/>
        <crossAx val="5001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6</col>
      <colOff>0</colOff>
      <row>2</row>
      <rowOff>0</rowOff>
    </from>
    <to>
      <col>17</col>
      <colOff>152400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36"/>
  <sheetViews>
    <sheetView tabSelected="1" workbookViewId="0">
      <selection activeCell="A1" sqref="A1"/>
    </sheetView>
  </sheetViews>
  <sheetFormatPr baseColWidth="8" defaultRowHeight="15"/>
  <cols>
    <col width="32.7109375" customWidth="1" min="1" max="1"/>
    <col width="60.7109375" customWidth="1" min="2" max="2"/>
  </cols>
  <sheetData>
    <row r="1">
      <c r="A1" s="51" t="inlineStr">
        <is>
          <t>⚠ DEMO DATA — see 'Data Sources' tab</t>
        </is>
      </c>
    </row>
    <row r="2" ht="32" customHeight="1">
      <c r="A2" s="52" t="inlineStr">
        <is>
          <t>Market data was sourced from a synthetic test harness, NOT live yfinance. Re-run `python run_model.py MU` to refresh against live market data.</t>
        </is>
      </c>
    </row>
    <row r="3">
      <c r="A3" s="53" t="inlineStr">
        <is>
          <t>Market data as-of: 2026-05-08 02:59 UTC  ·  Source: demo/synthetic</t>
        </is>
      </c>
    </row>
    <row r="4">
      <c r="A4" s="1" t="inlineStr">
        <is>
          <t>Micron Technology, Inc. (MU) — IB Valuation Template</t>
        </is>
      </c>
    </row>
    <row r="5"/>
    <row r="6">
      <c r="A6" s="2" t="inlineStr">
        <is>
          <t>Sector / Industry</t>
        </is>
      </c>
      <c r="B6" t="inlineStr">
        <is>
          <t>Technology / Semiconductors</t>
        </is>
      </c>
    </row>
    <row r="7">
      <c r="A7" s="2" t="inlineStr">
        <is>
          <t>Reporting Currency</t>
        </is>
      </c>
      <c r="B7" t="inlineStr">
        <is>
          <t>USD</t>
        </is>
      </c>
    </row>
    <row r="8">
      <c r="A8" s="2" t="inlineStr">
        <is>
          <t>Fiscal Year End</t>
        </is>
      </c>
      <c r="B8" t="inlineStr">
        <is>
          <t>2025-08-31</t>
        </is>
      </c>
    </row>
    <row r="9">
      <c r="A9" s="2" t="inlineStr">
        <is>
          <t>As-of Date</t>
        </is>
      </c>
      <c r="B9" t="inlineStr">
        <is>
          <t>2026-05-08</t>
        </is>
      </c>
    </row>
    <row r="10">
      <c r="A10" s="2" t="inlineStr">
        <is>
          <t>Industry Preset</t>
        </is>
      </c>
      <c r="B10" t="inlineStr">
        <is>
          <t>semiconductors_ai_cycle</t>
        </is>
      </c>
    </row>
    <row r="11">
      <c r="A11" s="2" t="inlineStr">
        <is>
          <t>Mid-cycle method</t>
        </is>
      </c>
      <c r="B11" t="inlineStr">
        <is>
          <t>peak_half</t>
        </is>
      </c>
    </row>
    <row r="12"/>
    <row r="13">
      <c r="A13" s="2" t="inlineStr">
        <is>
          <t>Cycle phase</t>
        </is>
      </c>
      <c r="B13" t="inlineStr">
        <is>
          <t>Near peak</t>
        </is>
      </c>
    </row>
    <row r="14">
      <c r="A14" s="2" t="inlineStr">
        <is>
          <t>Position in margin range</t>
        </is>
      </c>
      <c r="B14" s="3" t="n">
        <v>0.9640387710165633</v>
      </c>
    </row>
    <row r="15">
      <c r="A15" s="2" t="inlineStr">
        <is>
          <t>Latest EBITDA margin</t>
        </is>
      </c>
      <c r="B15" s="3" t="n">
        <v>0.4647887323943662</v>
      </c>
    </row>
    <row r="16">
      <c r="A16" s="2" t="inlineStr">
        <is>
          <t>5y peak margin</t>
        </is>
      </c>
      <c r="B16" s="3" t="n">
        <v>0.4868074354809601</v>
      </c>
    </row>
    <row r="17">
      <c r="A17" s="2" t="inlineStr">
        <is>
          <t>5y trough margin</t>
        </is>
      </c>
      <c r="B17" s="3" t="n">
        <v>-0.1254826254826255</v>
      </c>
    </row>
    <row r="18"/>
    <row r="19">
      <c r="A19" s="4" t="inlineStr">
        <is>
          <t>Headline outputs (linked)</t>
        </is>
      </c>
      <c r="B19" s="22" t="n"/>
    </row>
    <row r="20">
      <c r="A20" s="2" t="inlineStr">
        <is>
          <t>Current Market Price</t>
        </is>
      </c>
      <c r="B20" s="23" t="n">
        <v>108.45</v>
      </c>
    </row>
    <row r="21">
      <c r="A21" s="2" t="inlineStr">
        <is>
          <t>DCF Implied Price</t>
        </is>
      </c>
      <c r="B21" s="24">
        <f>DCF!B40</f>
        <v/>
      </c>
    </row>
    <row r="22">
      <c r="A22" s="2" t="inlineStr">
        <is>
          <t>DCF Upside / (Downside)</t>
        </is>
      </c>
      <c r="B22" s="25">
        <f>B18/B17-1</f>
        <v/>
      </c>
    </row>
    <row r="23">
      <c r="A23" s="2" t="inlineStr">
        <is>
          <t>LBO Sponsor IRR</t>
        </is>
      </c>
      <c r="B23" s="25">
        <f>LBO!B40</f>
        <v/>
      </c>
    </row>
    <row r="24">
      <c r="A24" s="2" t="inlineStr">
        <is>
          <t>LBO Sponsor MOIC</t>
        </is>
      </c>
      <c r="B24" s="26">
        <f>LBO!B41</f>
        <v/>
      </c>
    </row>
    <row r="25"/>
    <row r="26">
      <c r="A26" s="2" t="inlineStr">
        <is>
          <t>Sanity check status</t>
        </is>
      </c>
      <c r="B26" s="9" t="inlineStr">
        <is>
          <t>0 errors, 2 warnings — see Sanity Checks tab</t>
        </is>
      </c>
    </row>
    <row r="27"/>
    <row r="28">
      <c r="A28" s="4" t="inlineStr">
        <is>
          <t>How to use this workbook</t>
        </is>
      </c>
      <c r="B28" s="22" t="n"/>
    </row>
    <row r="29">
      <c r="A29" s="10" t="inlineStr">
        <is>
          <t>1. Yellow cells (Drivers tab) are the editable inputs — every other tab references them.
2. Edit any yellow cell to see the model recalculate live.
3. Cycle Diagnostic tab shows where the company sits in its own margin range.
4. Sanity Checks tab auto-flags issues (negative FCF, leverage breach, etc.).
5. To value a different company, open the notebook, change the TICKER cell, and Run All.
6. Notes tab logs every fallback or imputation used.</t>
        </is>
      </c>
    </row>
    <row r="30"/>
    <row r="31"/>
    <row r="32"/>
    <row r="33"/>
    <row r="34"/>
    <row r="35"/>
    <row r="36"/>
  </sheetData>
  <mergeCells count="6">
    <mergeCell ref="A2:B2"/>
    <mergeCell ref="A16:B16"/>
    <mergeCell ref="A25:B25"/>
    <mergeCell ref="A1:B1"/>
    <mergeCell ref="A26:B33"/>
    <mergeCell ref="A3:B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8.7109375" customWidth="1" min="1" max="1"/>
    <col width="18.7109375" customWidth="1" min="2" max="2"/>
    <col width="60.7109375" customWidth="1" min="3" max="3"/>
  </cols>
  <sheetData>
    <row r="1">
      <c r="A1" s="11" t="inlineStr">
        <is>
          <t>DRIVERS — every yellow cell is editable</t>
        </is>
      </c>
      <c r="B1" s="27" t="n"/>
      <c r="C1" s="22" t="n"/>
    </row>
    <row r="3">
      <c r="A3" s="4" t="inlineStr">
        <is>
          <t>Company snapshot</t>
        </is>
      </c>
      <c r="B3" s="27" t="n"/>
      <c r="C3" s="22" t="n"/>
    </row>
    <row r="4">
      <c r="A4" s="2" t="inlineStr">
        <is>
          <t>Ticker</t>
        </is>
      </c>
      <c r="B4" s="28" t="inlineStr">
        <is>
          <t>MU</t>
        </is>
      </c>
    </row>
    <row r="5">
      <c r="A5" s="2" t="inlineStr">
        <is>
          <t>Shares Outstanding</t>
        </is>
      </c>
      <c r="B5" s="28" t="n">
        <v>1120000000</v>
      </c>
      <c r="C5" s="54" t="inlineStr">
        <is>
          <t>⚠ DEMO  fetched 2026-05-08 02:59 UTC</t>
        </is>
      </c>
    </row>
    <row r="6">
      <c r="A6" s="2" t="inlineStr">
        <is>
          <t>Current Share Price</t>
        </is>
      </c>
      <c r="B6" s="29" t="n">
        <v>108.45</v>
      </c>
      <c r="C6" s="54" t="inlineStr">
        <is>
          <t>⚠ DEMO  fetched 2026-05-08 02:59 UTC</t>
        </is>
      </c>
    </row>
    <row r="7">
      <c r="A7" s="2" t="inlineStr">
        <is>
          <t>Net Debt (latest)</t>
        </is>
      </c>
      <c r="B7" s="30" t="n">
        <v>3850000000</v>
      </c>
      <c r="C7" s="54" t="inlineStr">
        <is>
          <t>⚠ DEMO  fetched 2026-05-08 02:59 UTC</t>
        </is>
      </c>
    </row>
    <row r="8">
      <c r="A8" s="2" t="inlineStr">
        <is>
          <t>Beta (observed equity)</t>
        </is>
      </c>
      <c r="B8" s="29" t="n">
        <v>1.27</v>
      </c>
      <c r="C8" s="54" t="inlineStr">
        <is>
          <t>⚠ DEMO  fetched 2026-05-08 02:59 UTC</t>
        </is>
      </c>
    </row>
    <row r="10">
      <c r="A10" s="4" t="inlineStr">
        <is>
          <t>Operating drivers (Forecast uses these)</t>
        </is>
      </c>
      <c r="B10" s="27" t="n"/>
      <c r="C10" s="22" t="n"/>
    </row>
    <row r="11">
      <c r="A11" s="2" t="inlineStr">
        <is>
          <t>Revenue Growth Y1</t>
        </is>
      </c>
      <c r="B11" s="31" t="n">
        <v>0.35</v>
      </c>
    </row>
    <row r="12">
      <c r="A12" s="2" t="inlineStr">
        <is>
          <t>Revenue Growth Y2</t>
        </is>
      </c>
      <c r="B12" s="31" t="n">
        <v>0.2</v>
      </c>
    </row>
    <row r="13">
      <c r="A13" s="2" t="inlineStr">
        <is>
          <t>Revenue Growth Y3</t>
        </is>
      </c>
      <c r="B13" s="31" t="n">
        <v>0.1</v>
      </c>
    </row>
    <row r="14">
      <c r="A14" s="2" t="inlineStr">
        <is>
          <t>Revenue Growth Y4</t>
        </is>
      </c>
      <c r="B14" s="31" t="n">
        <v>0.06</v>
      </c>
    </row>
    <row r="15">
      <c r="A15" s="2" t="inlineStr">
        <is>
          <t>Revenue Growth Y5</t>
        </is>
      </c>
      <c r="B15" s="31" t="n">
        <v>0.04</v>
      </c>
    </row>
    <row r="16">
      <c r="A16" s="2" t="inlineStr">
        <is>
          <t>EBITDA Margin (mid-cycle)</t>
        </is>
      </c>
      <c r="B16" s="31" t="n">
        <v>0.4647050624391409</v>
      </c>
      <c r="C16" s="10" t="inlineStr">
        <is>
          <t>5y mid-cycle (peak_half)</t>
        </is>
      </c>
    </row>
    <row r="17">
      <c r="A17" s="2" t="inlineStr">
        <is>
          <t>D&amp;A % Revenue</t>
        </is>
      </c>
      <c r="B17" s="31" t="n">
        <v>0.18</v>
      </c>
    </row>
    <row r="18">
      <c r="A18" s="2" t="inlineStr">
        <is>
          <t>Capex % Revenue</t>
        </is>
      </c>
      <c r="B18" s="31" t="n">
        <v>0.32</v>
      </c>
    </row>
    <row r="19">
      <c r="A19" s="2" t="inlineStr">
        <is>
          <t>NWC % Δ Revenue</t>
        </is>
      </c>
      <c r="B19" s="31" t="n">
        <v>0.16</v>
      </c>
    </row>
    <row r="20">
      <c r="A20" s="2" t="inlineStr">
        <is>
          <t>Effective Tax Rate</t>
        </is>
      </c>
      <c r="B20" s="31" t="n">
        <v>0.15</v>
      </c>
    </row>
    <row r="22">
      <c r="A22" s="4" t="inlineStr">
        <is>
          <t>WACC inputs</t>
        </is>
      </c>
      <c r="B22" s="27" t="n"/>
      <c r="C22" s="22" t="n"/>
    </row>
    <row r="23">
      <c r="A23" s="2" t="inlineStr">
        <is>
          <t>Risk-free rate</t>
        </is>
      </c>
      <c r="B23" s="31" t="n">
        <v>0.04</v>
      </c>
    </row>
    <row r="24">
      <c r="A24" s="2" t="inlineStr">
        <is>
          <t>Equity risk premium</t>
        </is>
      </c>
      <c r="B24" s="31" t="n">
        <v>0.055</v>
      </c>
    </row>
    <row r="25">
      <c r="A25" s="2" t="inlineStr">
        <is>
          <t>Asset beta (delevered)</t>
        </is>
      </c>
      <c r="B25" s="23" t="n">
        <v>1.157815753437506</v>
      </c>
    </row>
    <row r="26">
      <c r="A26" s="2" t="inlineStr">
        <is>
          <t>Re-levered β @ target</t>
        </is>
      </c>
      <c r="B26" s="23" t="n">
        <v>1.373847229383772</v>
      </c>
    </row>
    <row r="27">
      <c r="A27" s="2" t="inlineStr">
        <is>
          <t>Credit spread (bps)</t>
        </is>
      </c>
      <c r="B27" s="28" t="n">
        <v>175</v>
      </c>
    </row>
    <row r="28">
      <c r="A28" s="2" t="inlineStr">
        <is>
          <t>Target Debt / EV</t>
        </is>
      </c>
      <c r="B28" s="31" t="n">
        <v>0.18</v>
      </c>
    </row>
    <row r="30">
      <c r="A30" s="4" t="inlineStr">
        <is>
          <t>Terminal value</t>
        </is>
      </c>
      <c r="B30" s="27" t="n"/>
      <c r="C30" s="22" t="n"/>
    </row>
    <row r="31">
      <c r="A31" s="2" t="inlineStr">
        <is>
          <t>Terminal Growth (Gordon)</t>
        </is>
      </c>
      <c r="B31" s="31" t="n">
        <v>0.03</v>
      </c>
    </row>
    <row r="32">
      <c r="A32" s="2" t="inlineStr">
        <is>
          <t>Exit EBITDA Multiple</t>
        </is>
      </c>
      <c r="B32" s="29" t="n">
        <v>10</v>
      </c>
    </row>
    <row r="34">
      <c r="A34" s="4" t="inlineStr">
        <is>
          <t>LBO assumptions</t>
        </is>
      </c>
      <c r="B34" s="27" t="n"/>
      <c r="C34" s="22" t="n"/>
    </row>
    <row r="35">
      <c r="A35" s="2" t="inlineStr">
        <is>
          <t>Entry EBITDA Multiple</t>
        </is>
      </c>
      <c r="B35" s="29" t="n">
        <v>11</v>
      </c>
    </row>
    <row r="36">
      <c r="A36" s="2" t="inlineStr">
        <is>
          <t>Debt / EBITDA at close</t>
        </is>
      </c>
      <c r="B36" s="29" t="n">
        <v>4</v>
      </c>
    </row>
    <row r="37">
      <c r="A37" s="2" t="inlineStr">
        <is>
          <t>Cost of LBO debt</t>
        </is>
      </c>
      <c r="B37" s="31" t="n">
        <v>0.08500000000000001</v>
      </c>
    </row>
    <row r="38">
      <c r="A38" s="2" t="inlineStr">
        <is>
          <t>Hold period (yrs)</t>
        </is>
      </c>
      <c r="B38" s="28" t="n">
        <v>5</v>
      </c>
    </row>
    <row r="39">
      <c r="A39" s="2" t="inlineStr">
        <is>
          <t>Cash sweep %</t>
        </is>
      </c>
      <c r="B39" s="31" t="n">
        <v>0.75</v>
      </c>
    </row>
  </sheetData>
  <mergeCells count="6">
    <mergeCell ref="A10:C10"/>
    <mergeCell ref="A1:C1"/>
    <mergeCell ref="A22:C22"/>
    <mergeCell ref="A3:C3"/>
    <mergeCell ref="A30:C30"/>
    <mergeCell ref="A34:C3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2" customWidth="1" min="1" max="1"/>
    <col width="22" customWidth="1" min="2" max="2"/>
    <col width="32" customWidth="1" min="3" max="3"/>
    <col width="22" customWidth="1" min="4" max="4"/>
    <col width="14" customWidth="1" min="5" max="5"/>
  </cols>
  <sheetData>
    <row r="1" ht="24" customHeight="1">
      <c r="A1" s="35" t="inlineStr">
        <is>
          <t>DATA SOURCES &amp; FRESHNESS — MU (Micron Technology, Inc.)</t>
        </is>
      </c>
    </row>
    <row r="3">
      <c r="A3" s="37" t="inlineStr">
        <is>
          <t>Data pulled at</t>
        </is>
      </c>
      <c r="B3" t="inlineStr">
        <is>
          <t>2026-05-08 02:59 UTC</t>
        </is>
      </c>
    </row>
    <row r="4">
      <c r="A4" s="37" t="inlineStr">
        <is>
          <t>Primary source</t>
        </is>
      </c>
      <c r="B4" t="inlineStr">
        <is>
          <t>demo/synthetic</t>
        </is>
      </c>
    </row>
    <row r="5">
      <c r="A5" s="37" t="inlineStr">
        <is>
          <t>Demo / synthetic mode</t>
        </is>
      </c>
      <c r="B5" s="55" t="inlineStr">
        <is>
          <t>YES — see warning on Cover</t>
        </is>
      </c>
    </row>
    <row r="6">
      <c r="A6" s="37" t="inlineStr">
        <is>
          <t>Has stale/fallback data?</t>
        </is>
      </c>
      <c r="B6" s="55" t="inlineStr">
        <is>
          <t>YES</t>
        </is>
      </c>
    </row>
    <row r="8">
      <c r="A8" s="36" t="inlineStr">
        <is>
          <t>PER-FIELD PROVENANCE</t>
        </is>
      </c>
    </row>
    <row r="9">
      <c r="A9" s="44" t="inlineStr">
        <is>
          <t>Field</t>
        </is>
      </c>
      <c r="B9" s="44" t="inlineStr">
        <is>
          <t>Value</t>
        </is>
      </c>
      <c r="C9" s="44" t="inlineStr">
        <is>
          <t>Source</t>
        </is>
      </c>
      <c r="D9" s="44" t="inlineStr">
        <is>
          <t>Fetched at</t>
        </is>
      </c>
      <c r="E9" s="44" t="inlineStr">
        <is>
          <t>Status</t>
        </is>
      </c>
    </row>
    <row r="10">
      <c r="A10" t="inlineStr">
        <is>
          <t>price</t>
        </is>
      </c>
      <c r="B10" t="inlineStr">
        <is>
          <t>108.4500</t>
        </is>
      </c>
      <c r="C10" t="inlineStr">
        <is>
          <t>demo/synthetic</t>
        </is>
      </c>
      <c r="D10" t="inlineStr">
        <is>
          <t>2026-05-08 02:59 UTC</t>
        </is>
      </c>
      <c r="E10" s="56" t="inlineStr">
        <is>
          <t>demo</t>
        </is>
      </c>
    </row>
    <row r="11">
      <c r="A11" t="inlineStr">
        <is>
          <t>shares_out</t>
        </is>
      </c>
      <c r="B11" t="inlineStr">
        <is>
          <t>1,120,000,000.0000</t>
        </is>
      </c>
      <c r="C11" t="inlineStr">
        <is>
          <t>demo/synthetic</t>
        </is>
      </c>
      <c r="D11" t="inlineStr">
        <is>
          <t>2026-05-08 02:59 UTC</t>
        </is>
      </c>
      <c r="E11" s="56" t="inlineStr">
        <is>
          <t>demo</t>
        </is>
      </c>
    </row>
    <row r="12">
      <c r="A12" t="inlineStr">
        <is>
          <t>market_cap</t>
        </is>
      </c>
      <c r="B12" t="inlineStr">
        <is>
          <t>121,500,000,000.0000</t>
        </is>
      </c>
      <c r="C12" t="inlineStr">
        <is>
          <t>demo/synthetic</t>
        </is>
      </c>
      <c r="D12" t="inlineStr">
        <is>
          <t>2026-05-08 02:59 UTC</t>
        </is>
      </c>
      <c r="E12" s="56" t="inlineStr">
        <is>
          <t>demo</t>
        </is>
      </c>
    </row>
    <row r="13">
      <c r="A13" t="inlineStr">
        <is>
          <t>total_debt</t>
        </is>
      </c>
      <c r="B13" t="inlineStr">
        <is>
          <t>13,850,000,000.0000</t>
        </is>
      </c>
      <c r="C13" t="inlineStr">
        <is>
          <t>demo/synthetic</t>
        </is>
      </c>
      <c r="D13" t="inlineStr">
        <is>
          <t>2026-05-08 02:59 UTC</t>
        </is>
      </c>
      <c r="E13" s="56" t="inlineStr">
        <is>
          <t>demo</t>
        </is>
      </c>
    </row>
    <row r="14">
      <c r="A14" t="inlineStr">
        <is>
          <t>cash</t>
        </is>
      </c>
      <c r="B14" t="inlineStr">
        <is>
          <t>10,000,000,000.0000</t>
        </is>
      </c>
      <c r="C14" t="inlineStr">
        <is>
          <t>demo/synthetic</t>
        </is>
      </c>
      <c r="D14" t="inlineStr">
        <is>
          <t>2026-05-08 02:59 UTC</t>
        </is>
      </c>
      <c r="E14" s="56" t="inlineStr">
        <is>
          <t>demo</t>
        </is>
      </c>
    </row>
    <row r="15">
      <c r="A15" t="inlineStr">
        <is>
          <t>enterprise_value</t>
        </is>
      </c>
      <c r="B15" t="inlineStr">
        <is>
          <t>125,350,000,000.0000</t>
        </is>
      </c>
      <c r="C15" t="inlineStr">
        <is>
          <t>demo/synthetic</t>
        </is>
      </c>
      <c r="D15" t="inlineStr">
        <is>
          <t>2026-05-08 02:59 UTC</t>
        </is>
      </c>
      <c r="E15" s="56" t="inlineStr">
        <is>
          <t>demo</t>
        </is>
      </c>
    </row>
    <row r="16">
      <c r="A16" t="inlineStr">
        <is>
          <t>beta</t>
        </is>
      </c>
      <c r="B16" t="inlineStr">
        <is>
          <t>1.2700</t>
        </is>
      </c>
      <c r="C16" t="inlineStr">
        <is>
          <t>demo/synthetic</t>
        </is>
      </c>
      <c r="D16" t="inlineStr">
        <is>
          <t>2026-05-08 02:59 UTC</t>
        </is>
      </c>
      <c r="E16" s="56" t="inlineStr">
        <is>
          <t>demo</t>
        </is>
      </c>
    </row>
    <row r="17">
      <c r="A17" t="inlineStr">
        <is>
          <t>dividend_yield</t>
        </is>
      </c>
      <c r="B17" t="inlineStr">
        <is>
          <t>0.0042</t>
        </is>
      </c>
      <c r="C17" t="inlineStr">
        <is>
          <t>demo/synthetic</t>
        </is>
      </c>
      <c r="D17" t="inlineStr">
        <is>
          <t>2026-05-08 02:59 UTC</t>
        </is>
      </c>
      <c r="E17" s="56" t="inlineStr">
        <is>
          <t>demo</t>
        </is>
      </c>
    </row>
    <row r="19">
      <c r="A19" s="36" t="inlineStr">
        <is>
          <t>HOW TO REFRESH AGAINST LIVE DATA</t>
        </is>
      </c>
    </row>
    <row r="21">
      <c r="A21" t="inlineStr">
        <is>
          <t>From the model directory, run:</t>
        </is>
      </c>
    </row>
    <row r="22">
      <c r="A22" s="57" t="inlineStr">
        <is>
          <t xml:space="preserve">   python run_model.py MU</t>
        </is>
      </c>
    </row>
    <row r="23">
      <c r="A23" t="inlineStr"/>
    </row>
    <row r="24">
      <c r="A24" t="inlineStr">
        <is>
          <t>yfinance pulls fresh price, shares, debt, beta, and statements.</t>
        </is>
      </c>
    </row>
    <row r="25">
      <c r="A25" t="inlineStr">
        <is>
          <t>The freshly-built workbook will replace this one and the banner</t>
        </is>
      </c>
    </row>
    <row r="26">
      <c r="A26" t="inlineStr">
        <is>
          <t>above will turn green ('LIVE MARKET DATA — pulled &lt;timestamp&gt;').</t>
        </is>
      </c>
    </row>
    <row r="27">
      <c r="A27" t="inlineStr"/>
    </row>
    <row r="28">
      <c r="A28" t="inlineStr">
        <is>
          <t>If yfinance fails or fields are missing, fallbacks are still</t>
        </is>
      </c>
    </row>
    <row r="29">
      <c r="A29" t="inlineStr">
        <is>
          <t>logged with status='fallback' / 'synthesized' so you can audit</t>
        </is>
      </c>
    </row>
    <row r="30">
      <c r="A30" t="inlineStr">
        <is>
          <t>exactly which numbers were inferred vs. reported.</t>
        </is>
      </c>
    </row>
  </sheetData>
  <mergeCells count="13">
    <mergeCell ref="A21:E21"/>
    <mergeCell ref="A30:E30"/>
    <mergeCell ref="A29:E29"/>
    <mergeCell ref="A26:E26"/>
    <mergeCell ref="A24:E24"/>
    <mergeCell ref="A25:E25"/>
    <mergeCell ref="A28:E28"/>
    <mergeCell ref="A19:E19"/>
    <mergeCell ref="A1:E1"/>
    <mergeCell ref="A23:E23"/>
    <mergeCell ref="A8:E8"/>
    <mergeCell ref="A22:E22"/>
    <mergeCell ref="A27:E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2.7109375" customWidth="1" min="1" max="1"/>
    <col width="16.7109375" customWidth="1" min="2" max="8"/>
  </cols>
  <sheetData>
    <row r="1">
      <c r="A1" s="11" t="inlineStr">
        <is>
          <t>Historical Financials (sourced: yfinance)</t>
        </is>
      </c>
      <c r="B1" s="27" t="n"/>
      <c r="C1" s="27" t="n"/>
      <c r="D1" s="27" t="n"/>
      <c r="E1" s="27" t="n"/>
      <c r="F1" s="27" t="n"/>
      <c r="G1" s="27" t="n"/>
      <c r="H1" s="22" t="n"/>
    </row>
    <row r="2">
      <c r="A2" s="16" t="inlineStr">
        <is>
          <t>Line Item</t>
        </is>
      </c>
      <c r="B2" s="16" t="inlineStr">
        <is>
          <t>2021-08-31</t>
        </is>
      </c>
      <c r="C2" s="16" t="inlineStr">
        <is>
          <t>2022-08-31</t>
        </is>
      </c>
      <c r="D2" s="16" t="inlineStr">
        <is>
          <t>2023-08-31</t>
        </is>
      </c>
      <c r="E2" s="16" t="inlineStr">
        <is>
          <t>2024-08-31</t>
        </is>
      </c>
      <c r="F2" s="16" t="inlineStr">
        <is>
          <t>2025-08-31</t>
        </is>
      </c>
    </row>
    <row r="3">
      <c r="A3" s="2" t="inlineStr">
        <is>
          <t>Revenue</t>
        </is>
      </c>
      <c r="B3" s="32" t="n">
        <v>27705000000</v>
      </c>
      <c r="C3" s="32" t="n">
        <v>30758000000</v>
      </c>
      <c r="D3" s="32" t="n">
        <v>15540000000</v>
      </c>
      <c r="E3" s="32" t="n">
        <v>25111000000</v>
      </c>
      <c r="F3" s="32" t="n">
        <v>35500000000</v>
      </c>
    </row>
    <row r="4">
      <c r="A4" s="2" t="inlineStr">
        <is>
          <t>YoY Growth %</t>
        </is>
      </c>
      <c r="C4" s="3" t="n">
        <v>0.1101967153943331</v>
      </c>
      <c r="D4" s="3" t="n">
        <v>-0.4947655894401457</v>
      </c>
      <c r="E4" s="3" t="n">
        <v>0.6158944658944658</v>
      </c>
      <c r="F4" s="3" t="n">
        <v>0.4137230695711043</v>
      </c>
    </row>
    <row r="5">
      <c r="A5" s="2" t="inlineStr">
        <is>
          <t>Gross Profit</t>
        </is>
      </c>
      <c r="B5" s="32" t="n">
        <v>8533000000</v>
      </c>
      <c r="C5" s="32" t="n">
        <v>11740000000</v>
      </c>
      <c r="D5" s="32" t="n">
        <v>-1416000000</v>
      </c>
      <c r="E5" s="32" t="n">
        <v>5611000000</v>
      </c>
      <c r="F5" s="32" t="n">
        <v>13500000000</v>
      </c>
    </row>
    <row r="6">
      <c r="A6" s="2" t="inlineStr">
        <is>
          <t>Gross Margin %</t>
        </is>
      </c>
      <c r="B6" s="3" t="n">
        <v>0.3079949467605125</v>
      </c>
      <c r="C6" s="3" t="n">
        <v>0.3816893166005592</v>
      </c>
      <c r="D6" s="3" t="n">
        <v>-0.09111969111969112</v>
      </c>
      <c r="E6" s="3" t="n">
        <v>0.2234478913623511</v>
      </c>
      <c r="F6" s="3" t="n">
        <v>0.3802816901408451</v>
      </c>
    </row>
    <row r="7">
      <c r="A7" s="2" t="inlineStr">
        <is>
          <t>EBITDA</t>
        </is>
      </c>
      <c r="B7" s="32" t="n">
        <v>13487000000</v>
      </c>
      <c r="C7" s="32" t="n">
        <v>13611000000</v>
      </c>
      <c r="D7" s="32" t="n">
        <v>-1950000000</v>
      </c>
      <c r="E7" s="32" t="n">
        <v>8700000000</v>
      </c>
      <c r="F7" s="32" t="n">
        <v>16500000000</v>
      </c>
    </row>
    <row r="8">
      <c r="A8" s="2" t="inlineStr">
        <is>
          <t>EBITDA Margin %</t>
        </is>
      </c>
      <c r="B8" s="3" t="n">
        <v>0.4868074354809601</v>
      </c>
      <c r="C8" s="3" t="n">
        <v>0.4425190194420964</v>
      </c>
      <c r="D8" s="3" t="n">
        <v>-0.1254826254826255</v>
      </c>
      <c r="E8" s="3" t="n">
        <v>0.3464617100075664</v>
      </c>
      <c r="F8" s="3" t="n">
        <v>0.4647887323943662</v>
      </c>
    </row>
    <row r="9">
      <c r="A9" s="2" t="inlineStr">
        <is>
          <t>EBIT</t>
        </is>
      </c>
      <c r="B9" s="32" t="n">
        <v>6811000000</v>
      </c>
      <c r="C9" s="32" t="n">
        <v>8911000000</v>
      </c>
      <c r="D9" s="32" t="n">
        <v>-5745000000</v>
      </c>
      <c r="E9" s="32" t="n">
        <v>811000000</v>
      </c>
      <c r="F9" s="32" t="n">
        <v>8300000000</v>
      </c>
    </row>
    <row r="10">
      <c r="A10" s="2" t="inlineStr">
        <is>
          <t>EBIT Margin %</t>
        </is>
      </c>
      <c r="B10" s="3" t="n">
        <v>0.2458401010647898</v>
      </c>
      <c r="C10" s="3" t="n">
        <v>0.2897132453345471</v>
      </c>
      <c r="D10" s="3" t="n">
        <v>-0.3696911196911196</v>
      </c>
      <c r="E10" s="3" t="n">
        <v>0.03229660308231452</v>
      </c>
      <c r="F10" s="3" t="n">
        <v>0.2338028169014084</v>
      </c>
    </row>
    <row r="11">
      <c r="A11" s="2" t="inlineStr">
        <is>
          <t>D&amp;A</t>
        </is>
      </c>
      <c r="B11" s="32" t="n">
        <v>6676000000</v>
      </c>
      <c r="C11" s="32" t="n">
        <v>4700000000</v>
      </c>
      <c r="D11" s="32" t="n">
        <v>3795000000</v>
      </c>
      <c r="E11" s="32" t="n">
        <v>7889000000</v>
      </c>
      <c r="F11" s="32" t="n">
        <v>8200000000</v>
      </c>
    </row>
    <row r="12">
      <c r="A12" s="2" t="inlineStr">
        <is>
          <t>D&amp;A % Revenue</t>
        </is>
      </c>
      <c r="B12" s="3" t="n">
        <v>0.2409673344161704</v>
      </c>
      <c r="C12" s="3" t="n">
        <v>0.1528057741075493</v>
      </c>
      <c r="D12" s="3" t="n">
        <v>0.2442084942084942</v>
      </c>
      <c r="E12" s="3" t="n">
        <v>0.3141651069252519</v>
      </c>
      <c r="F12" s="3" t="n">
        <v>0.2309859154929578</v>
      </c>
    </row>
    <row r="13">
      <c r="A13" s="2" t="inlineStr">
        <is>
          <t>Net Income</t>
        </is>
      </c>
      <c r="B13" s="32" t="n">
        <v>5861000000</v>
      </c>
      <c r="C13" s="32" t="n">
        <v>8687000000</v>
      </c>
      <c r="D13" s="32" t="n">
        <v>-5833000000</v>
      </c>
      <c r="E13" s="32" t="n">
        <v>778000000</v>
      </c>
      <c r="F13" s="32" t="n">
        <v>7220000000</v>
      </c>
    </row>
    <row r="14">
      <c r="A14" s="2" t="inlineStr">
        <is>
          <t>Net Margin %</t>
        </is>
      </c>
      <c r="B14" s="3" t="n">
        <v>0.2115502616856163</v>
      </c>
      <c r="C14" s="3" t="n">
        <v>0.282430587164315</v>
      </c>
      <c r="D14" s="3" t="n">
        <v>-0.3753539253539254</v>
      </c>
      <c r="E14" s="3" t="n">
        <v>0.03098243797538927</v>
      </c>
      <c r="F14" s="3" t="n">
        <v>0.2033802816901408</v>
      </c>
    </row>
    <row r="15">
      <c r="A15" s="2" t="inlineStr">
        <is>
          <t>Diluted EPS</t>
        </is>
      </c>
      <c r="B15" s="32" t="n">
        <v>5.14</v>
      </c>
      <c r="C15" s="32" t="n">
        <v>7.79</v>
      </c>
      <c r="D15" s="32" t="n">
        <v>-5.34</v>
      </c>
      <c r="E15" s="32" t="n">
        <v>0.7</v>
      </c>
      <c r="F15" s="32" t="n">
        <v>6.45</v>
      </c>
    </row>
    <row r="16">
      <c r="A16" s="2" t="inlineStr">
        <is>
          <t>Capex</t>
        </is>
      </c>
      <c r="B16" s="32" t="n">
        <v>9704000000</v>
      </c>
      <c r="C16" s="32" t="n">
        <v>12067000000</v>
      </c>
      <c r="D16" s="32" t="n">
        <v>7676000000</v>
      </c>
      <c r="E16" s="32" t="n">
        <v>8186000000</v>
      </c>
      <c r="F16" s="32" t="n">
        <v>10500000000</v>
      </c>
    </row>
    <row r="17">
      <c r="A17" s="2" t="inlineStr">
        <is>
          <t>Capex % Revenue</t>
        </is>
      </c>
      <c r="B17" s="3" t="n">
        <v>0.3502616856163148</v>
      </c>
      <c r="C17" s="3" t="n">
        <v>0.3923206970544248</v>
      </c>
      <c r="D17" s="3" t="n">
        <v>0.4939510939510939</v>
      </c>
      <c r="E17" s="3" t="n">
        <v>0.3259925928875791</v>
      </c>
      <c r="F17" s="3" t="n">
        <v>0.2957746478873239</v>
      </c>
    </row>
    <row r="18">
      <c r="A18" s="2" t="inlineStr">
        <is>
          <t>Operating Cash Flow</t>
        </is>
      </c>
      <c r="B18" s="32" t="n">
        <v>12468000000</v>
      </c>
      <c r="C18" s="32" t="n">
        <v>15181000000</v>
      </c>
      <c r="D18" s="32" t="n">
        <v>1559000000</v>
      </c>
      <c r="E18" s="32" t="n">
        <v>8507000000</v>
      </c>
      <c r="F18" s="32" t="n">
        <v>14200000000</v>
      </c>
    </row>
    <row r="19">
      <c r="A19" s="2" t="inlineStr">
        <is>
          <t>OCF % Revenue</t>
        </is>
      </c>
      <c r="B19" s="3" t="n">
        <v>0.4500270709258257</v>
      </c>
      <c r="C19" s="3" t="n">
        <v>0.4935626503673841</v>
      </c>
      <c r="D19" s="3" t="n">
        <v>0.1003217503217503</v>
      </c>
      <c r="E19" s="3" t="n">
        <v>0.3387758352913066</v>
      </c>
      <c r="F19" s="3" t="n">
        <v>0.4</v>
      </c>
    </row>
    <row r="20">
      <c r="A20" s="2" t="inlineStr">
        <is>
          <t>Free Cash Flow</t>
        </is>
      </c>
      <c r="B20" s="32" t="n">
        <v>2764000000</v>
      </c>
      <c r="C20" s="32" t="n">
        <v>3114000000</v>
      </c>
      <c r="D20" s="32" t="n">
        <v>-6117000000</v>
      </c>
      <c r="E20" s="32" t="n">
        <v>321000000</v>
      </c>
      <c r="F20" s="32" t="n">
        <v>3700000000</v>
      </c>
    </row>
    <row r="21">
      <c r="A21" s="2" t="inlineStr">
        <is>
          <t>FCF Margin %</t>
        </is>
      </c>
      <c r="B21" s="3" t="n">
        <v>0.0997653853095109</v>
      </c>
      <c r="C21" s="3" t="n">
        <v>0.1012419533129592</v>
      </c>
      <c r="D21" s="3" t="n">
        <v>-0.3936293436293437</v>
      </c>
      <c r="E21" s="3" t="n">
        <v>0.01278324240372745</v>
      </c>
      <c r="F21" s="3" t="n">
        <v>0.1042253521126761</v>
      </c>
    </row>
    <row r="22">
      <c r="A22" s="2" t="inlineStr">
        <is>
          <t>Total Debt</t>
        </is>
      </c>
      <c r="B22" s="32" t="n">
        <v>6775000000</v>
      </c>
      <c r="C22" s="32" t="n">
        <v>6908000000</v>
      </c>
      <c r="D22" s="32" t="n">
        <v>13325000000</v>
      </c>
      <c r="E22" s="32" t="n">
        <v>14000000000</v>
      </c>
      <c r="F22" s="32" t="n">
        <v>13850000000</v>
      </c>
    </row>
    <row r="23">
      <c r="A23" s="2" t="inlineStr">
        <is>
          <t>Cash</t>
        </is>
      </c>
      <c r="B23" s="32" t="n">
        <v>7829000000</v>
      </c>
      <c r="C23" s="32" t="n">
        <v>8262000000</v>
      </c>
      <c r="D23" s="32" t="n">
        <v>8577000000</v>
      </c>
      <c r="E23" s="32" t="n">
        <v>7800000000</v>
      </c>
      <c r="F23" s="32" t="n">
        <v>8400000000</v>
      </c>
    </row>
    <row r="24">
      <c r="A24" s="2" t="inlineStr">
        <is>
          <t>Net Debt</t>
        </is>
      </c>
      <c r="B24" s="32" t="n">
        <v>-1054000000</v>
      </c>
      <c r="C24" s="32" t="n">
        <v>-1354000000</v>
      </c>
      <c r="D24" s="32" t="n">
        <v>4748000000</v>
      </c>
      <c r="E24" s="32" t="n">
        <v>6200000000</v>
      </c>
      <c r="F24" s="32" t="n">
        <v>5450000000</v>
      </c>
    </row>
    <row r="25">
      <c r="A25" s="2" t="inlineStr">
        <is>
          <t>Net Debt / EBITDA</t>
        </is>
      </c>
      <c r="B25" s="32" t="n">
        <v>-0.07814932898346556</v>
      </c>
      <c r="C25" s="32" t="n">
        <v>-0.09947836308867827</v>
      </c>
      <c r="D25" s="32" t="n">
        <v>-2.434871794871795</v>
      </c>
      <c r="E25" s="32" t="n">
        <v>0.7126436781609196</v>
      </c>
      <c r="F25" s="32" t="n">
        <v>0.3303030303030303</v>
      </c>
    </row>
    <row r="26">
      <c r="A26" s="2" t="inlineStr">
        <is>
          <t>Total Equity</t>
        </is>
      </c>
      <c r="B26" s="32" t="n">
        <v>44137000000</v>
      </c>
      <c r="C26" s="32" t="n">
        <v>47180000000</v>
      </c>
      <c r="D26" s="32" t="n">
        <v>40544000000</v>
      </c>
      <c r="E26" s="32" t="n">
        <v>41200000000</v>
      </c>
      <c r="F26" s="32" t="n">
        <v>44300000000</v>
      </c>
    </row>
    <row r="27">
      <c r="A27" s="2" t="inlineStr">
        <is>
          <t>ROE %</t>
        </is>
      </c>
      <c r="C27" s="3" t="n">
        <v>0.1902603020248147</v>
      </c>
      <c r="D27" s="3" t="n">
        <v>-0.1329852719894214</v>
      </c>
      <c r="E27" s="3" t="n">
        <v>0.01903503621060873</v>
      </c>
      <c r="F27" s="3" t="n">
        <v>0.1688888888888889</v>
      </c>
    </row>
    <row r="28">
      <c r="A28" s="2" t="inlineStr">
        <is>
          <t>ROIC %</t>
        </is>
      </c>
      <c r="C28" s="3" t="n">
        <v>0.1802820052473043</v>
      </c>
      <c r="D28" s="3" t="n">
        <v>-0.1171699499046922</v>
      </c>
      <c r="E28" s="3" t="n">
        <v>0.01749881327406896</v>
      </c>
      <c r="F28" s="3" t="n">
        <v>0.1482788313076527</v>
      </c>
    </row>
    <row r="29">
      <c r="A29" s="2" t="inlineStr">
        <is>
          <t>Working Capital</t>
        </is>
      </c>
      <c r="B29" s="32" t="n">
        <v>5575000000</v>
      </c>
      <c r="C29" s="32" t="n">
        <v>7396000000</v>
      </c>
      <c r="D29" s="32" t="n">
        <v>7340000000</v>
      </c>
      <c r="E29" s="32" t="n">
        <v>7800000000</v>
      </c>
      <c r="F29" s="32" t="n">
        <v>7700000000</v>
      </c>
    </row>
    <row r="30">
      <c r="A30" s="2" t="inlineStr">
        <is>
          <t>NWC % Revenue</t>
        </is>
      </c>
      <c r="B30" s="3" t="n">
        <v>0.2012272153040967</v>
      </c>
      <c r="C30" s="3" t="n">
        <v>0.240457767084986</v>
      </c>
      <c r="D30" s="3" t="n">
        <v>0.4723294723294723</v>
      </c>
      <c r="E30" s="3" t="n">
        <v>0.3106208434550595</v>
      </c>
      <c r="F30" s="3" t="n">
        <v>0.2169014084507042</v>
      </c>
    </row>
  </sheetData>
  <mergeCells count="1">
    <mergeCell ref="A1:H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6.7109375" customWidth="1" min="1" max="1"/>
    <col width="18.7109375" customWidth="1" min="2" max="2"/>
    <col width="60.7109375" customWidth="1" min="3" max="3"/>
  </cols>
  <sheetData>
    <row r="1">
      <c r="A1" s="11" t="inlineStr">
        <is>
          <t>Cycle Position Diagnostic</t>
        </is>
      </c>
      <c r="B1" s="27" t="n"/>
      <c r="C1" s="22" t="n"/>
    </row>
    <row r="3">
      <c r="A3" s="2" t="inlineStr">
        <is>
          <t>Cycle phase</t>
        </is>
      </c>
      <c r="B3" t="inlineStr">
        <is>
          <t>Near peak</t>
        </is>
      </c>
    </row>
    <row r="4">
      <c r="A4" s="2" t="inlineStr">
        <is>
          <t>Position in margin range</t>
        </is>
      </c>
      <c r="B4" s="3" t="n">
        <v>0.9640387710165633</v>
      </c>
    </row>
    <row r="5">
      <c r="A5" s="2" t="inlineStr">
        <is>
          <t>Latest EBITDA margin</t>
        </is>
      </c>
      <c r="B5" s="3" t="n">
        <v>0.4647887323943662</v>
      </c>
    </row>
    <row r="6">
      <c r="A6" s="2" t="inlineStr">
        <is>
          <t>5y peak margin</t>
        </is>
      </c>
      <c r="B6" s="3" t="n">
        <v>0.4868074354809601</v>
      </c>
    </row>
    <row r="7">
      <c r="A7" s="2" t="inlineStr">
        <is>
          <t>5y trough margin</t>
        </is>
      </c>
      <c r="B7" s="3" t="n">
        <v>-0.1254826254826255</v>
      </c>
    </row>
    <row r="8">
      <c r="A8" s="2" t="inlineStr">
        <is>
          <t>5y median margin</t>
        </is>
      </c>
      <c r="B8" s="3" t="n">
        <v>0.4425190194420964</v>
      </c>
    </row>
    <row r="9">
      <c r="A9" s="2" t="inlineStr">
        <is>
          <t>5y mean margin</t>
        </is>
      </c>
      <c r="B9" s="3" t="n">
        <v>0.3230188543684727</v>
      </c>
    </row>
    <row r="10">
      <c r="A10" s="2" t="inlineStr">
        <is>
          <t>Number of obs</t>
        </is>
      </c>
      <c r="B10" s="33" t="n">
        <v>5</v>
      </c>
    </row>
    <row r="12">
      <c r="A12" s="4" t="inlineStr">
        <is>
          <t>Methodology used by this preset</t>
        </is>
      </c>
      <c r="B12" s="27" t="n"/>
      <c r="C12" s="22" t="n"/>
    </row>
    <row r="13">
      <c r="A13" s="2" t="inlineStr">
        <is>
          <t>Mid-cycle method</t>
        </is>
      </c>
      <c r="B13" t="inlineStr">
        <is>
          <t>peak_half</t>
        </is>
      </c>
    </row>
    <row r="14">
      <c r="A14" s="2" t="inlineStr">
        <is>
          <t>Window (years)</t>
        </is>
      </c>
      <c r="B14" s="33" t="n">
        <v>5</v>
      </c>
    </row>
    <row r="16">
      <c r="A16" s="4" t="inlineStr">
        <is>
          <t>How to read this</t>
        </is>
      </c>
      <c r="B16" s="27" t="n"/>
      <c r="C16" s="22" t="n"/>
    </row>
    <row r="17">
      <c r="A17" s="10" t="inlineStr">
        <is>
          <t>Position 0% = at trough margin, 100% = at peak margin. For cyclicals, valuing off the latest reported margin is dangerous when position is &gt;85% (near peak) or &lt;15% (near trough). The mid-cycle method normalizes — winsorize drops outliers; peak_half assumes structural shift; median is robust to one bad year.</t>
        </is>
      </c>
    </row>
    <row r="18"/>
    <row r="19"/>
    <row r="20"/>
    <row r="21"/>
    <row r="22"/>
  </sheetData>
  <mergeCells count="4">
    <mergeCell ref="A1:C1"/>
    <mergeCell ref="A16:C16"/>
    <mergeCell ref="A12:C12"/>
    <mergeCell ref="A17:C2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2.7109375" customWidth="1" min="1" max="1"/>
    <col width="16.7109375" customWidth="1" min="2" max="7"/>
  </cols>
  <sheetData>
    <row r="1">
      <c r="A1" s="11" t="inlineStr">
        <is>
          <t>5-Year Operating Forecast (formulas)</t>
        </is>
      </c>
      <c r="B1" s="27" t="n"/>
      <c r="C1" s="27" t="n"/>
      <c r="D1" s="27" t="n"/>
      <c r="E1" s="27" t="n"/>
      <c r="F1" s="27" t="n"/>
      <c r="G1" s="22" t="n"/>
    </row>
    <row r="2">
      <c r="A2" s="16" t="inlineStr">
        <is>
          <t>Line Item</t>
        </is>
      </c>
      <c r="B2" s="16" t="inlineStr">
        <is>
          <t>FY2025 (Actual)</t>
        </is>
      </c>
      <c r="C2" s="16" t="inlineStr">
        <is>
          <t>FY2026E</t>
        </is>
      </c>
      <c r="D2" s="16" t="inlineStr">
        <is>
          <t>FY2027E</t>
        </is>
      </c>
      <c r="E2" s="16" t="inlineStr">
        <is>
          <t>FY2028E</t>
        </is>
      </c>
      <c r="F2" s="16" t="inlineStr">
        <is>
          <t>FY2029E</t>
        </is>
      </c>
      <c r="G2" s="16" t="inlineStr">
        <is>
          <t>FY2030E</t>
        </is>
      </c>
    </row>
    <row r="3">
      <c r="A3" s="2" t="inlineStr">
        <is>
          <t>Revenue</t>
        </is>
      </c>
      <c r="B3" s="32" t="n">
        <v>35500000000</v>
      </c>
      <c r="C3" s="32">
        <f>B3*(1+ib_grw1)</f>
        <v/>
      </c>
      <c r="D3" s="32">
        <f>C3*(1+ib_grw2)</f>
        <v/>
      </c>
      <c r="E3" s="32">
        <f>D3*(1+ib_grw3)</f>
        <v/>
      </c>
      <c r="F3" s="32">
        <f>E3*(1+ib_grw4)</f>
        <v/>
      </c>
      <c r="G3" s="32">
        <f>F3*(1+ib_grw5)</f>
        <v/>
      </c>
    </row>
    <row r="4">
      <c r="A4" s="2" t="inlineStr">
        <is>
          <t>YoY %</t>
        </is>
      </c>
      <c r="C4" s="3">
        <f>ib_grw1</f>
        <v/>
      </c>
      <c r="D4" s="3">
        <f>ib_grw2</f>
        <v/>
      </c>
      <c r="E4" s="3">
        <f>ib_grw3</f>
        <v/>
      </c>
      <c r="F4" s="3">
        <f>ib_grw4</f>
        <v/>
      </c>
      <c r="G4" s="3">
        <f>ib_grw5</f>
        <v/>
      </c>
    </row>
    <row r="5">
      <c r="A5" s="2" t="inlineStr">
        <is>
          <t>EBITDA</t>
        </is>
      </c>
      <c r="C5" s="32">
        <f>C3*ib_ebmgn</f>
        <v/>
      </c>
      <c r="D5" s="32">
        <f>D3*ib_ebmgn</f>
        <v/>
      </c>
      <c r="E5" s="32">
        <f>E3*ib_ebmgn</f>
        <v/>
      </c>
      <c r="F5" s="32">
        <f>F3*ib_ebmgn</f>
        <v/>
      </c>
      <c r="G5" s="32">
        <f>G3*ib_ebmgn</f>
        <v/>
      </c>
    </row>
    <row r="6">
      <c r="A6" s="2" t="inlineStr">
        <is>
          <t>EBITDA Margin %</t>
        </is>
      </c>
      <c r="C6" s="3">
        <f>ib_ebmgn</f>
        <v/>
      </c>
      <c r="D6" s="3">
        <f>ib_ebmgn</f>
        <v/>
      </c>
      <c r="E6" s="3">
        <f>ib_ebmgn</f>
        <v/>
      </c>
      <c r="F6" s="3">
        <f>ib_ebmgn</f>
        <v/>
      </c>
      <c r="G6" s="3">
        <f>ib_ebmgn</f>
        <v/>
      </c>
    </row>
    <row r="7">
      <c r="A7" s="2" t="inlineStr">
        <is>
          <t>D&amp;A</t>
        </is>
      </c>
      <c r="C7" s="32">
        <f>C3*ib_dapct</f>
        <v/>
      </c>
      <c r="D7" s="32">
        <f>D3*ib_dapct</f>
        <v/>
      </c>
      <c r="E7" s="32">
        <f>E3*ib_dapct</f>
        <v/>
      </c>
      <c r="F7" s="32">
        <f>F3*ib_dapct</f>
        <v/>
      </c>
      <c r="G7" s="32">
        <f>G3*ib_dapct</f>
        <v/>
      </c>
    </row>
    <row r="8">
      <c r="A8" s="2" t="inlineStr">
        <is>
          <t>EBIT</t>
        </is>
      </c>
      <c r="C8" s="32">
        <f>C5-C7</f>
        <v/>
      </c>
      <c r="D8" s="32">
        <f>D5-D7</f>
        <v/>
      </c>
      <c r="E8" s="32">
        <f>E5-E7</f>
        <v/>
      </c>
      <c r="F8" s="32">
        <f>F5-F7</f>
        <v/>
      </c>
      <c r="G8" s="32">
        <f>G5-G7</f>
        <v/>
      </c>
    </row>
    <row r="9">
      <c r="A9" s="2" t="inlineStr">
        <is>
          <t>Cash Taxes</t>
        </is>
      </c>
      <c r="C9" s="32">
        <f>C8*ib_tax</f>
        <v/>
      </c>
      <c r="D9" s="32">
        <f>D8*ib_tax</f>
        <v/>
      </c>
      <c r="E9" s="32">
        <f>E8*ib_tax</f>
        <v/>
      </c>
      <c r="F9" s="32">
        <f>F8*ib_tax</f>
        <v/>
      </c>
      <c r="G9" s="32">
        <f>G8*ib_tax</f>
        <v/>
      </c>
    </row>
    <row r="10">
      <c r="A10" s="2" t="inlineStr">
        <is>
          <t>NOPAT</t>
        </is>
      </c>
      <c r="C10" s="32">
        <f>C8-C9</f>
        <v/>
      </c>
      <c r="D10" s="32">
        <f>D8-D9</f>
        <v/>
      </c>
      <c r="E10" s="32">
        <f>E8-E9</f>
        <v/>
      </c>
      <c r="F10" s="32">
        <f>F8-F9</f>
        <v/>
      </c>
      <c r="G10" s="32">
        <f>G8-G9</f>
        <v/>
      </c>
    </row>
    <row r="11">
      <c r="A11" s="2" t="inlineStr">
        <is>
          <t>Capex</t>
        </is>
      </c>
      <c r="C11" s="32">
        <f>C3*ib_cxpct</f>
        <v/>
      </c>
      <c r="D11" s="32">
        <f>D3*ib_cxpct</f>
        <v/>
      </c>
      <c r="E11" s="32">
        <f>E3*ib_cxpct</f>
        <v/>
      </c>
      <c r="F11" s="32">
        <f>F3*ib_cxpct</f>
        <v/>
      </c>
      <c r="G11" s="32">
        <f>G3*ib_cxpct</f>
        <v/>
      </c>
    </row>
    <row r="12">
      <c r="A12" s="2" t="inlineStr">
        <is>
          <t>Δ NWC</t>
        </is>
      </c>
      <c r="C12" s="32">
        <f>(C3-B3)*ib_nwcpct</f>
        <v/>
      </c>
      <c r="D12" s="32">
        <f>(D3-C3)*ib_nwcpct</f>
        <v/>
      </c>
      <c r="E12" s="32">
        <f>(E3-D3)*ib_nwcpct</f>
        <v/>
      </c>
      <c r="F12" s="32">
        <f>(F3-E3)*ib_nwcpct</f>
        <v/>
      </c>
      <c r="G12" s="32">
        <f>(G3-F3)*ib_nwcpct</f>
        <v/>
      </c>
    </row>
    <row r="13">
      <c r="A13" s="19" t="inlineStr">
        <is>
          <t>Unlevered FCF</t>
        </is>
      </c>
      <c r="C13" s="32">
        <f>C10+C7-C11-C12</f>
        <v/>
      </c>
      <c r="D13" s="32">
        <f>D10+D7-D11-D12</f>
        <v/>
      </c>
      <c r="E13" s="32">
        <f>E10+E7-E11-E12</f>
        <v/>
      </c>
      <c r="F13" s="32">
        <f>F10+F7-F11-F12</f>
        <v/>
      </c>
      <c r="G13" s="32">
        <f>G10+G7-G11-G12</f>
        <v/>
      </c>
    </row>
  </sheetData>
  <mergeCells count="1">
    <mergeCell ref="A1:G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2.7109375" customWidth="1" min="1" max="1"/>
    <col width="16.7109375" customWidth="1" min="2" max="7"/>
  </cols>
  <sheetData>
    <row r="1">
      <c r="A1" s="11" t="inlineStr">
        <is>
          <t>Three-Statement Projection</t>
        </is>
      </c>
      <c r="B1" s="27" t="n"/>
      <c r="C1" s="27" t="n"/>
      <c r="D1" s="27" t="n"/>
      <c r="E1" s="27" t="n"/>
      <c r="F1" s="27" t="n"/>
      <c r="G1" s="22" t="n"/>
    </row>
    <row r="3">
      <c r="A3" s="4" t="inlineStr">
        <is>
          <t>Income Statement</t>
        </is>
      </c>
      <c r="B3" s="27" t="n"/>
      <c r="C3" s="27" t="n"/>
      <c r="D3" s="27" t="n"/>
      <c r="E3" s="27" t="n"/>
      <c r="F3" s="22" t="n"/>
    </row>
    <row r="4">
      <c r="A4" s="16" t="n"/>
      <c r="B4" s="16" t="inlineStr">
        <is>
          <t>FY2026E</t>
        </is>
      </c>
      <c r="C4" s="16" t="inlineStr">
        <is>
          <t>FY2027E</t>
        </is>
      </c>
      <c r="D4" s="16" t="inlineStr">
        <is>
          <t>FY2028E</t>
        </is>
      </c>
      <c r="E4" s="16" t="inlineStr">
        <is>
          <t>FY2029E</t>
        </is>
      </c>
      <c r="F4" s="16" t="inlineStr">
        <is>
          <t>FY2030E</t>
        </is>
      </c>
    </row>
    <row r="5">
      <c r="A5" s="2" t="inlineStr">
        <is>
          <t>Revenue</t>
        </is>
      </c>
      <c r="B5" s="32" t="n">
        <v>47925000000</v>
      </c>
      <c r="C5" s="32" t="n">
        <v>57510000000</v>
      </c>
      <c r="D5" s="32" t="n">
        <v>63261000000.00001</v>
      </c>
      <c r="E5" s="32" t="n">
        <v>67056660000.00002</v>
      </c>
      <c r="F5" s="32" t="n">
        <v>69738926400.00002</v>
      </c>
    </row>
    <row r="6">
      <c r="A6" s="2" t="inlineStr">
        <is>
          <t>Gross Profit</t>
        </is>
      </c>
      <c r="B6" s="32" t="n">
        <v>8188942998.876494</v>
      </c>
      <c r="C6" s="32" t="n">
        <v>9826731598.651793</v>
      </c>
      <c r="D6" s="32" t="n">
        <v>10809404758.51697</v>
      </c>
      <c r="E6" s="32" t="n">
        <v>11457969044.02799</v>
      </c>
      <c r="F6" s="32" t="n">
        <v>11916287805.78911</v>
      </c>
    </row>
    <row r="7">
      <c r="A7" s="2" t="inlineStr">
        <is>
          <t>EBITDA</t>
        </is>
      </c>
      <c r="B7" s="32" t="n">
        <v>22270990117.39583</v>
      </c>
      <c r="C7" s="32" t="n">
        <v>26725188140.87499</v>
      </c>
      <c r="D7" s="32" t="n">
        <v>29397706954.96249</v>
      </c>
      <c r="E7" s="32" t="n">
        <v>31161569372.26025</v>
      </c>
      <c r="F7" s="32" t="n">
        <v>32408032147.15066</v>
      </c>
    </row>
    <row r="8">
      <c r="A8" s="2" t="inlineStr">
        <is>
          <t>D&amp;A</t>
        </is>
      </c>
      <c r="B8" s="32" t="n">
        <v>8626500000</v>
      </c>
      <c r="C8" s="32" t="n">
        <v>10351800000</v>
      </c>
      <c r="D8" s="32" t="n">
        <v>11386980000</v>
      </c>
      <c r="E8" s="32" t="n">
        <v>12070198800</v>
      </c>
      <c r="F8" s="32" t="n">
        <v>12553006752</v>
      </c>
    </row>
    <row r="9">
      <c r="A9" s="2" t="inlineStr">
        <is>
          <t>EBIT</t>
        </is>
      </c>
      <c r="B9" s="32" t="n">
        <v>13644490117.39583</v>
      </c>
      <c r="C9" s="32" t="n">
        <v>16373388140.87499</v>
      </c>
      <c r="D9" s="32" t="n">
        <v>18010726954.96249</v>
      </c>
      <c r="E9" s="32" t="n">
        <v>19091370572.26025</v>
      </c>
      <c r="F9" s="32" t="n">
        <v>19855025395.15066</v>
      </c>
    </row>
    <row r="10">
      <c r="A10" s="2" t="inlineStr">
        <is>
          <t>Interest Expense</t>
        </is>
      </c>
      <c r="B10" s="32" t="n">
        <v>482500000</v>
      </c>
      <c r="C10" s="32" t="n">
        <v>482500000</v>
      </c>
      <c r="D10" s="32" t="n">
        <v>482500000</v>
      </c>
      <c r="E10" s="32" t="n">
        <v>482500000</v>
      </c>
      <c r="F10" s="32" t="n">
        <v>482500000</v>
      </c>
    </row>
    <row r="11">
      <c r="A11" s="2" t="inlineStr">
        <is>
          <t>Pretax Income</t>
        </is>
      </c>
      <c r="B11" s="32" t="n">
        <v>13161990117.39583</v>
      </c>
      <c r="C11" s="32" t="n">
        <v>15890888140.87499</v>
      </c>
      <c r="D11" s="32" t="n">
        <v>17528226954.96249</v>
      </c>
      <c r="E11" s="32" t="n">
        <v>18608870572.26025</v>
      </c>
      <c r="F11" s="32" t="n">
        <v>19372525395.15066</v>
      </c>
    </row>
    <row r="12">
      <c r="A12" s="2" t="inlineStr">
        <is>
          <t>Tax</t>
        </is>
      </c>
      <c r="B12" s="32" t="n">
        <v>1974298517.609374</v>
      </c>
      <c r="C12" s="32" t="n">
        <v>2383633221.131249</v>
      </c>
      <c r="D12" s="32" t="n">
        <v>2629234043.244374</v>
      </c>
      <c r="E12" s="32" t="n">
        <v>2791330585.839037</v>
      </c>
      <c r="F12" s="32" t="n">
        <v>2905878809.272599</v>
      </c>
    </row>
    <row r="13">
      <c r="A13" s="2" t="inlineStr">
        <is>
          <t>Net Income</t>
        </is>
      </c>
      <c r="B13" s="32" t="n">
        <v>11187691599.78645</v>
      </c>
      <c r="C13" s="32" t="n">
        <v>13507254919.74374</v>
      </c>
      <c r="D13" s="32" t="n">
        <v>14898992911.71812</v>
      </c>
      <c r="E13" s="32" t="n">
        <v>15817539986.42121</v>
      </c>
      <c r="F13" s="32" t="n">
        <v>16466646585.87806</v>
      </c>
    </row>
    <row r="14">
      <c r="A14" s="2" t="inlineStr">
        <is>
          <t>Diluted Shares</t>
        </is>
      </c>
      <c r="B14" s="32" t="n">
        <v>1120000000</v>
      </c>
      <c r="C14" s="32" t="n">
        <v>1120000000</v>
      </c>
      <c r="D14" s="32" t="n">
        <v>1120000000</v>
      </c>
      <c r="E14" s="32" t="n">
        <v>1120000000</v>
      </c>
      <c r="F14" s="32" t="n">
        <v>1120000000</v>
      </c>
    </row>
    <row r="15">
      <c r="A15" s="2" t="inlineStr">
        <is>
          <t>Diluted EPS</t>
        </is>
      </c>
      <c r="B15" s="32" t="n">
        <v>9.989010356952191</v>
      </c>
      <c r="C15" s="32" t="n">
        <v>12.06004903548549</v>
      </c>
      <c r="D15" s="32" t="n">
        <v>13.30267224260546</v>
      </c>
      <c r="E15" s="32" t="n">
        <v>14.12280355930465</v>
      </c>
      <c r="F15" s="32" t="n">
        <v>14.70236302310541</v>
      </c>
    </row>
    <row r="18">
      <c r="A18" s="4" t="inlineStr">
        <is>
          <t>Cash Flow Statement</t>
        </is>
      </c>
      <c r="B18" s="27" t="n"/>
      <c r="C18" s="27" t="n"/>
      <c r="D18" s="27" t="n"/>
      <c r="E18" s="27" t="n"/>
      <c r="F18" s="22" t="n"/>
    </row>
    <row r="19">
      <c r="A19" s="16" t="n"/>
      <c r="B19" s="16" t="inlineStr">
        <is>
          <t>FY2026E</t>
        </is>
      </c>
      <c r="C19" s="16" t="inlineStr">
        <is>
          <t>FY2027E</t>
        </is>
      </c>
      <c r="D19" s="16" t="inlineStr">
        <is>
          <t>FY2028E</t>
        </is>
      </c>
      <c r="E19" s="16" t="inlineStr">
        <is>
          <t>FY2029E</t>
        </is>
      </c>
      <c r="F19" s="16" t="inlineStr">
        <is>
          <t>FY2030E</t>
        </is>
      </c>
    </row>
    <row r="20">
      <c r="A20" s="2" t="inlineStr">
        <is>
          <t>Net Income</t>
        </is>
      </c>
      <c r="B20" s="32" t="n">
        <v>11187691599.78645</v>
      </c>
      <c r="C20" s="32" t="n">
        <v>13507254919.74374</v>
      </c>
      <c r="D20" s="32" t="n">
        <v>14898992911.71812</v>
      </c>
      <c r="E20" s="32" t="n">
        <v>15817539986.42121</v>
      </c>
      <c r="F20" s="32" t="n">
        <v>16466646585.87806</v>
      </c>
    </row>
    <row r="21">
      <c r="A21" s="2" t="inlineStr">
        <is>
          <t>+ D&amp;A</t>
        </is>
      </c>
      <c r="B21" s="32" t="n">
        <v>8626500000</v>
      </c>
      <c r="C21" s="32" t="n">
        <v>10351800000</v>
      </c>
      <c r="D21" s="32" t="n">
        <v>11386980000</v>
      </c>
      <c r="E21" s="32" t="n">
        <v>12070198800</v>
      </c>
      <c r="F21" s="32" t="n">
        <v>12553006752</v>
      </c>
    </row>
    <row r="22">
      <c r="A22" s="2" t="inlineStr">
        <is>
          <t>− Δ NWC</t>
        </is>
      </c>
      <c r="B22" s="32" t="n">
        <v>-1988000000</v>
      </c>
      <c r="C22" s="32" t="n">
        <v>-1533600000</v>
      </c>
      <c r="D22" s="32" t="n">
        <v>-920160000.0000012</v>
      </c>
      <c r="E22" s="32" t="n">
        <v>-607305600.0000012</v>
      </c>
      <c r="F22" s="32" t="n">
        <v>-429162624</v>
      </c>
    </row>
    <row r="23">
      <c r="A23" s="2" t="inlineStr">
        <is>
          <t>Operating Cash Flow</t>
        </is>
      </c>
      <c r="B23" s="32" t="n">
        <v>17826191599.78645</v>
      </c>
      <c r="C23" s="32" t="n">
        <v>22325454919.74374</v>
      </c>
      <c r="D23" s="32" t="n">
        <v>25365812911.71812</v>
      </c>
      <c r="E23" s="32" t="n">
        <v>27280433186.42121</v>
      </c>
      <c r="F23" s="32" t="n">
        <v>28590490713.87806</v>
      </c>
    </row>
    <row r="24">
      <c r="A24" s="2" t="inlineStr">
        <is>
          <t>− Capex</t>
        </is>
      </c>
      <c r="B24" s="32" t="n">
        <v>-15336000000</v>
      </c>
      <c r="C24" s="32" t="n">
        <v>-18403200000</v>
      </c>
      <c r="D24" s="32" t="n">
        <v>-20243520000</v>
      </c>
      <c r="E24" s="32" t="n">
        <v>-21458131200</v>
      </c>
      <c r="F24" s="32" t="n">
        <v>-22316456448</v>
      </c>
    </row>
    <row r="25">
      <c r="A25" s="2" t="inlineStr">
        <is>
          <t>Free Cash Flow</t>
        </is>
      </c>
      <c r="B25" s="32" t="n">
        <v>2490191599.786453</v>
      </c>
      <c r="C25" s="32" t="n">
        <v>3922254919.743744</v>
      </c>
      <c r="D25" s="32" t="n">
        <v>5122292911.718117</v>
      </c>
      <c r="E25" s="32" t="n">
        <v>5822301986.421207</v>
      </c>
      <c r="F25" s="32" t="n">
        <v>6274034265.878056</v>
      </c>
    </row>
    <row r="26">
      <c r="A26" s="2" t="inlineStr">
        <is>
          <t>− Mandatory Debt Amort</t>
        </is>
      </c>
      <c r="B26" s="32" t="n">
        <v>0</v>
      </c>
      <c r="C26" s="32" t="n">
        <v>0</v>
      </c>
      <c r="D26" s="32" t="n">
        <v>0</v>
      </c>
      <c r="E26" s="32" t="n">
        <v>0</v>
      </c>
      <c r="F26" s="32" t="n">
        <v>0</v>
      </c>
    </row>
    <row r="27">
      <c r="A27" s="2" t="inlineStr">
        <is>
          <t>− Dividends</t>
        </is>
      </c>
      <c r="B27" s="32" t="n">
        <v>0</v>
      </c>
      <c r="C27" s="32" t="n">
        <v>0</v>
      </c>
      <c r="D27" s="32" t="n">
        <v>0</v>
      </c>
      <c r="E27" s="32" t="n">
        <v>0</v>
      </c>
      <c r="F27" s="32" t="n">
        <v>0</v>
      </c>
    </row>
    <row r="28">
      <c r="A28" s="2">
        <f> Net Change in Cash</f>
        <v/>
      </c>
      <c r="B28" s="32" t="n">
        <v>2490191599.786453</v>
      </c>
      <c r="C28" s="32" t="n">
        <v>3922254919.743744</v>
      </c>
      <c r="D28" s="32" t="n">
        <v>5122292911.718117</v>
      </c>
      <c r="E28" s="32" t="n">
        <v>5822301986.421207</v>
      </c>
      <c r="F28" s="32" t="n">
        <v>6274034265.878056</v>
      </c>
    </row>
    <row r="29">
      <c r="A29" s="2" t="inlineStr">
        <is>
          <t>Beginning Cash</t>
        </is>
      </c>
      <c r="B29" s="32" t="n">
        <v>8400000000</v>
      </c>
      <c r="C29" s="32" t="n">
        <v>10890191599.78645</v>
      </c>
      <c r="D29" s="32" t="n">
        <v>14812446519.5302</v>
      </c>
      <c r="E29" s="32" t="n">
        <v>19934739431.24831</v>
      </c>
      <c r="F29" s="32" t="n">
        <v>25757041417.66952</v>
      </c>
    </row>
    <row r="30">
      <c r="A30" s="2" t="inlineStr">
        <is>
          <t>Ending Cash</t>
        </is>
      </c>
      <c r="B30" s="32" t="n">
        <v>10890191599.78645</v>
      </c>
      <c r="C30" s="32" t="n">
        <v>14812446519.5302</v>
      </c>
      <c r="D30" s="32" t="n">
        <v>19934739431.24831</v>
      </c>
      <c r="E30" s="32" t="n">
        <v>25757041417.66952</v>
      </c>
      <c r="F30" s="32" t="n">
        <v>32031075683.54758</v>
      </c>
    </row>
    <row r="33">
      <c r="A33" s="4" t="inlineStr">
        <is>
          <t>Balance Sheet</t>
        </is>
      </c>
      <c r="B33" s="27" t="n"/>
      <c r="C33" s="27" t="n"/>
      <c r="D33" s="27" t="n"/>
      <c r="E33" s="27" t="n"/>
      <c r="F33" s="22" t="n"/>
    </row>
    <row r="34">
      <c r="A34" s="16" t="n"/>
      <c r="B34" s="16" t="inlineStr">
        <is>
          <t>FY2026E</t>
        </is>
      </c>
      <c r="C34" s="16" t="inlineStr">
        <is>
          <t>FY2027E</t>
        </is>
      </c>
      <c r="D34" s="16" t="inlineStr">
        <is>
          <t>FY2028E</t>
        </is>
      </c>
      <c r="E34" s="16" t="inlineStr">
        <is>
          <t>FY2029E</t>
        </is>
      </c>
      <c r="F34" s="16" t="inlineStr">
        <is>
          <t>FY2030E</t>
        </is>
      </c>
    </row>
    <row r="35">
      <c r="A35" s="2" t="inlineStr">
        <is>
          <t>Cash &amp; Equivalents</t>
        </is>
      </c>
      <c r="B35" s="32" t="n">
        <v>10890191599.78645</v>
      </c>
      <c r="C35" s="32" t="n">
        <v>14812446519.5302</v>
      </c>
      <c r="D35" s="32" t="n">
        <v>19934739431.24831</v>
      </c>
      <c r="E35" s="32" t="n">
        <v>25757041417.66952</v>
      </c>
      <c r="F35" s="32" t="n">
        <v>32031075683.54758</v>
      </c>
    </row>
    <row r="36">
      <c r="A36" s="2" t="inlineStr">
        <is>
          <t>Receivables</t>
        </is>
      </c>
      <c r="B36" s="32" t="n">
        <v>7424999999.999999</v>
      </c>
      <c r="C36" s="32" t="n">
        <v>8910000000</v>
      </c>
      <c r="D36" s="32" t="n">
        <v>9801000000</v>
      </c>
      <c r="E36" s="32" t="n">
        <v>10389060000</v>
      </c>
      <c r="F36" s="32" t="n">
        <v>10804622400</v>
      </c>
    </row>
    <row r="37">
      <c r="A37" s="2" t="inlineStr">
        <is>
          <t>Inventory</t>
        </is>
      </c>
      <c r="B37" s="32" t="n">
        <v>10260000000</v>
      </c>
      <c r="C37" s="32" t="n">
        <v>12312000000</v>
      </c>
      <c r="D37" s="32" t="n">
        <v>13543200000</v>
      </c>
      <c r="E37" s="32" t="n">
        <v>14355792000</v>
      </c>
      <c r="F37" s="32" t="n">
        <v>14930023680</v>
      </c>
    </row>
    <row r="38">
      <c r="A38" s="2" t="inlineStr">
        <is>
          <t>Net PPE</t>
        </is>
      </c>
      <c r="B38" s="32" t="n">
        <v>52709500000</v>
      </c>
      <c r="C38" s="32" t="n">
        <v>60760900000</v>
      </c>
      <c r="D38" s="32" t="n">
        <v>69617440000</v>
      </c>
      <c r="E38" s="32" t="n">
        <v>79005372400</v>
      </c>
      <c r="F38" s="32" t="n">
        <v>88768822096</v>
      </c>
    </row>
    <row r="39">
      <c r="A39" s="2" t="inlineStr">
        <is>
          <t>Other Assets</t>
        </is>
      </c>
      <c r="B39" s="32" t="n">
        <v>5500000000</v>
      </c>
      <c r="C39" s="32" t="n">
        <v>5500000000</v>
      </c>
      <c r="D39" s="32" t="n">
        <v>5500000000</v>
      </c>
      <c r="E39" s="32" t="n">
        <v>5500000000</v>
      </c>
      <c r="F39" s="32" t="n">
        <v>5500000000</v>
      </c>
    </row>
    <row r="40">
      <c r="A40" s="2" t="inlineStr">
        <is>
          <t>Total Assets</t>
        </is>
      </c>
      <c r="B40" s="32" t="n">
        <v>86784691599.78645</v>
      </c>
      <c r="C40" s="32" t="n">
        <v>102295346519.5302</v>
      </c>
      <c r="D40" s="32" t="n">
        <v>118396379431.2483</v>
      </c>
      <c r="E40" s="32" t="n">
        <v>135007265817.6695</v>
      </c>
      <c r="F40" s="32" t="n">
        <v>152034543859.5476</v>
      </c>
    </row>
    <row r="41">
      <c r="A41" s="2" t="inlineStr">
        <is>
          <t>Payables</t>
        </is>
      </c>
      <c r="B41" s="32" t="n">
        <v>7290000000</v>
      </c>
      <c r="C41" s="32" t="n">
        <v>8748000000</v>
      </c>
      <c r="D41" s="32" t="n">
        <v>9622800000</v>
      </c>
      <c r="E41" s="32" t="n">
        <v>10200168000</v>
      </c>
      <c r="F41" s="32" t="n">
        <v>10608174720</v>
      </c>
    </row>
    <row r="42">
      <c r="A42" s="2" t="inlineStr">
        <is>
          <t>Total Debt</t>
        </is>
      </c>
      <c r="B42" s="32" t="n">
        <v>13850000000</v>
      </c>
      <c r="C42" s="32" t="n">
        <v>13850000000</v>
      </c>
      <c r="D42" s="32" t="n">
        <v>13850000000</v>
      </c>
      <c r="E42" s="32" t="n">
        <v>13850000000</v>
      </c>
      <c r="F42" s="32" t="n">
        <v>13850000000</v>
      </c>
    </row>
    <row r="43">
      <c r="A43" s="2" t="inlineStr">
        <is>
          <t>Other Liabilities</t>
        </is>
      </c>
      <c r="B43" s="32" t="n">
        <v>10157000000</v>
      </c>
      <c r="C43" s="32" t="n">
        <v>10702400000</v>
      </c>
      <c r="D43" s="32" t="n">
        <v>11029640000</v>
      </c>
      <c r="E43" s="32" t="n">
        <v>11245618400</v>
      </c>
      <c r="F43" s="32" t="n">
        <v>11398243136</v>
      </c>
    </row>
    <row r="44">
      <c r="A44" s="2" t="inlineStr">
        <is>
          <t>Total Liabilities</t>
        </is>
      </c>
      <c r="B44" s="32" t="n">
        <v>31297000000</v>
      </c>
      <c r="C44" s="32" t="n">
        <v>33300400000</v>
      </c>
      <c r="D44" s="32" t="n">
        <v>34502440000</v>
      </c>
      <c r="E44" s="32" t="n">
        <v>35295786400</v>
      </c>
      <c r="F44" s="32" t="n">
        <v>35856417856</v>
      </c>
    </row>
    <row r="45">
      <c r="A45" s="2" t="inlineStr">
        <is>
          <t>Retained Earnings (delta)</t>
        </is>
      </c>
      <c r="B45" s="32" t="n">
        <v>11187691599.78645</v>
      </c>
      <c r="C45" s="32" t="n">
        <v>24694946519.5302</v>
      </c>
      <c r="D45" s="32" t="n">
        <v>39593939431.24832</v>
      </c>
      <c r="E45" s="32" t="n">
        <v>55411479417.66953</v>
      </c>
      <c r="F45" s="32" t="n">
        <v>71878126003.54758</v>
      </c>
    </row>
    <row r="46">
      <c r="A46" s="2" t="inlineStr">
        <is>
          <t>Equity</t>
        </is>
      </c>
      <c r="B46" s="32" t="n">
        <v>55487691599.78645</v>
      </c>
      <c r="C46" s="32" t="n">
        <v>68994946519.5302</v>
      </c>
      <c r="D46" s="32" t="n">
        <v>83893939431.24832</v>
      </c>
      <c r="E46" s="32" t="n">
        <v>99711479417.66953</v>
      </c>
      <c r="F46" s="32" t="n">
        <v>116178126003.5476</v>
      </c>
    </row>
    <row r="47">
      <c r="A47" s="2" t="inlineStr">
        <is>
          <t>Total Liab + Equity</t>
        </is>
      </c>
      <c r="B47" s="32" t="n">
        <v>86784691599.78645</v>
      </c>
      <c r="C47" s="32" t="n">
        <v>102295346519.5302</v>
      </c>
      <c r="D47" s="32" t="n">
        <v>118396379431.2483</v>
      </c>
      <c r="E47" s="32" t="n">
        <v>135007265817.6695</v>
      </c>
      <c r="F47" s="32" t="n">
        <v>152034543859.5476</v>
      </c>
    </row>
    <row r="48">
      <c r="A48" s="2" t="inlineStr">
        <is>
          <t>BS Check (Assets − Liab − Eq)</t>
        </is>
      </c>
      <c r="B48" s="32" t="n">
        <v>0</v>
      </c>
      <c r="C48" s="32" t="n">
        <v>0</v>
      </c>
      <c r="D48" s="32" t="n">
        <v>0</v>
      </c>
      <c r="E48" s="32" t="n">
        <v>0</v>
      </c>
      <c r="F48" s="32" t="n">
        <v>0</v>
      </c>
    </row>
  </sheetData>
  <mergeCells count="4">
    <mergeCell ref="A3:F3"/>
    <mergeCell ref="A33:F33"/>
    <mergeCell ref="A1:G1"/>
    <mergeCell ref="A18:F18"/>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6.7109375" customWidth="1" min="1" max="1"/>
    <col width="16.7109375" customWidth="1" min="2" max="8"/>
  </cols>
  <sheetData>
    <row r="1">
      <c r="A1" s="11" t="inlineStr">
        <is>
          <t>DCF Valuation (formulas)</t>
        </is>
      </c>
      <c r="B1" s="27" t="n"/>
      <c r="C1" s="27" t="n"/>
      <c r="D1" s="27" t="n"/>
      <c r="E1" s="27" t="n"/>
      <c r="F1" s="27" t="n"/>
      <c r="G1" s="27" t="n"/>
      <c r="H1" s="22" t="n"/>
    </row>
    <row r="3">
      <c r="A3" s="4" t="inlineStr">
        <is>
          <t>WACC Build (with Hamada re-levering)</t>
        </is>
      </c>
      <c r="B3" s="22" t="n"/>
    </row>
    <row r="4">
      <c r="A4" s="2" t="inlineStr">
        <is>
          <t>Risk-free rate</t>
        </is>
      </c>
      <c r="B4" s="34">
        <f>ib_rf</f>
        <v/>
      </c>
    </row>
    <row r="5">
      <c r="A5" s="2" t="inlineStr">
        <is>
          <t>ERP</t>
        </is>
      </c>
      <c r="B5" s="34">
        <f>ib_erp</f>
        <v/>
      </c>
    </row>
    <row r="6">
      <c r="A6" s="2" t="inlineStr">
        <is>
          <t>Re-levered β</t>
        </is>
      </c>
      <c r="B6" s="23">
        <f>ib_betaT</f>
        <v/>
      </c>
    </row>
    <row r="7">
      <c r="A7" s="19" t="inlineStr">
        <is>
          <t>Cost of Equity</t>
        </is>
      </c>
      <c r="B7" s="34">
        <f>B4+B5*B6</f>
        <v/>
      </c>
    </row>
    <row r="8">
      <c r="A8" s="2" t="inlineStr">
        <is>
          <t>Pre-tax kd</t>
        </is>
      </c>
      <c r="B8" s="34">
        <f>B4+ib_spread/10000</f>
        <v/>
      </c>
    </row>
    <row r="9">
      <c r="A9" s="2" t="inlineStr">
        <is>
          <t>Tax</t>
        </is>
      </c>
      <c r="B9" s="34">
        <f>ib_tax</f>
        <v/>
      </c>
    </row>
    <row r="10">
      <c r="A10" s="2" t="inlineStr">
        <is>
          <t>After-tax kd</t>
        </is>
      </c>
      <c r="B10" s="34">
        <f>B8*(1-B9)</f>
        <v/>
      </c>
    </row>
    <row r="11">
      <c r="A11" s="2" t="inlineStr">
        <is>
          <t>Wd</t>
        </is>
      </c>
      <c r="B11" s="34">
        <f>ib_wd</f>
        <v/>
      </c>
    </row>
    <row r="12">
      <c r="A12" s="2" t="inlineStr">
        <is>
          <t>We</t>
        </is>
      </c>
      <c r="B12" s="34">
        <f>1-B11</f>
        <v/>
      </c>
    </row>
    <row r="13">
      <c r="A13" s="19" t="inlineStr">
        <is>
          <t>WACC</t>
        </is>
      </c>
      <c r="B13" s="25">
        <f>B7*B12+B10*B11</f>
        <v/>
      </c>
    </row>
    <row r="15">
      <c r="A15" s="16" t="inlineStr">
        <is>
          <t>Year</t>
        </is>
      </c>
      <c r="B15" s="16" t="n">
        <v>1</v>
      </c>
      <c r="C15" s="16" t="n">
        <v>2</v>
      </c>
      <c r="D15" s="16" t="n">
        <v>3</v>
      </c>
      <c r="E15" s="16" t="n">
        <v>4</v>
      </c>
      <c r="F15" s="16" t="n">
        <v>5</v>
      </c>
    </row>
    <row r="16">
      <c r="A16" s="2" t="inlineStr">
        <is>
          <t>FCF</t>
        </is>
      </c>
      <c r="B16" s="32">
        <f>Forecast!C13</f>
        <v/>
      </c>
      <c r="C16" s="32">
        <f>Forecast!D13</f>
        <v/>
      </c>
      <c r="D16" s="32">
        <f>Forecast!E13</f>
        <v/>
      </c>
      <c r="E16" s="32">
        <f>Forecast!F13</f>
        <v/>
      </c>
      <c r="F16" s="32">
        <f>Forecast!G13</f>
        <v/>
      </c>
    </row>
    <row r="17">
      <c r="A17" s="2" t="inlineStr">
        <is>
          <t>Discount Factor (mid-yr)</t>
        </is>
      </c>
      <c r="B17" s="23">
        <f>1/(1+ib_WACC)^(1-0.5)</f>
        <v/>
      </c>
      <c r="C17" s="23">
        <f>1/(1+ib_WACC)^(2-0.5)</f>
        <v/>
      </c>
      <c r="D17" s="23">
        <f>1/(1+ib_WACC)^(3-0.5)</f>
        <v/>
      </c>
      <c r="E17" s="23">
        <f>1/(1+ib_WACC)^(4-0.5)</f>
        <v/>
      </c>
      <c r="F17" s="23">
        <f>1/(1+ib_WACC)^(5-0.5)</f>
        <v/>
      </c>
    </row>
    <row r="18">
      <c r="A18" s="2" t="inlineStr">
        <is>
          <t>PV of FCF</t>
        </is>
      </c>
      <c r="B18" s="32">
        <f>B16*B17</f>
        <v/>
      </c>
      <c r="C18" s="32">
        <f>C16*C17</f>
        <v/>
      </c>
      <c r="D18" s="32">
        <f>D16*D17</f>
        <v/>
      </c>
      <c r="E18" s="32">
        <f>E16*E17</f>
        <v/>
      </c>
      <c r="F18" s="32">
        <f>F16*F17</f>
        <v/>
      </c>
    </row>
    <row r="20">
      <c r="A20" s="19" t="inlineStr">
        <is>
          <t>Sum PV explicit</t>
        </is>
      </c>
      <c r="B20" s="32">
        <f>SUM(B18:F18)</f>
        <v/>
      </c>
    </row>
    <row r="21">
      <c r="A21" s="2" t="inlineStr">
        <is>
          <t>Y5 FCF</t>
        </is>
      </c>
      <c r="B21" s="32">
        <f>F16</f>
        <v/>
      </c>
    </row>
    <row r="22">
      <c r="A22" s="2" t="inlineStr">
        <is>
          <t>TV — Gordon</t>
        </is>
      </c>
      <c r="B22" s="32">
        <f>B21*(1+ib_tg)/(ib_WACC-ib_tg)</f>
        <v/>
      </c>
    </row>
    <row r="23">
      <c r="A23" s="2" t="inlineStr">
        <is>
          <t>TV — Exit Mult</t>
        </is>
      </c>
      <c r="B23" s="32">
        <f>ib_EBDA5*ib_exitm</f>
        <v/>
      </c>
    </row>
    <row r="24">
      <c r="A24" s="19" t="inlineStr">
        <is>
          <t>TV — Blended</t>
        </is>
      </c>
      <c r="B24" s="32">
        <f>AVERAGE(B22,B23)</f>
        <v/>
      </c>
    </row>
    <row r="25">
      <c r="A25" s="2" t="inlineStr">
        <is>
          <t>PV of TV</t>
        </is>
      </c>
      <c r="B25" s="32">
        <f>B24*F17</f>
        <v/>
      </c>
    </row>
    <row r="26">
      <c r="A26" s="19" t="inlineStr">
        <is>
          <t>Enterprise Value</t>
        </is>
      </c>
      <c r="B26" s="32">
        <f>B20+B25</f>
        <v/>
      </c>
    </row>
    <row r="27">
      <c r="A27" s="2" t="inlineStr">
        <is>
          <t>Less: Net Debt</t>
        </is>
      </c>
      <c r="B27" s="32">
        <f>ib_netdebt</f>
        <v/>
      </c>
    </row>
    <row r="28">
      <c r="A28" s="19" t="inlineStr">
        <is>
          <t>Equity Value</t>
        </is>
      </c>
      <c r="B28" s="32">
        <f>B26-B27</f>
        <v/>
      </c>
    </row>
    <row r="29">
      <c r="A29" s="2" t="inlineStr">
        <is>
          <t>Diluted Shares</t>
        </is>
      </c>
      <c r="B29" s="33">
        <f>ib_shares</f>
        <v/>
      </c>
    </row>
    <row r="30">
      <c r="A30" s="19" t="inlineStr">
        <is>
          <t>Implied Price</t>
        </is>
      </c>
      <c r="B30" s="24">
        <f>B28/B29</f>
        <v/>
      </c>
    </row>
    <row r="31">
      <c r="A31" s="2" t="inlineStr">
        <is>
          <t>Current Price</t>
        </is>
      </c>
      <c r="B31" s="23">
        <f>ib_px</f>
        <v/>
      </c>
    </row>
    <row r="32">
      <c r="A32" s="19" t="inlineStr">
        <is>
          <t>Upside %</t>
        </is>
      </c>
      <c r="B32" s="25">
        <f>B30/B31-1</f>
        <v/>
      </c>
    </row>
    <row r="33">
      <c r="A33" s="2" t="inlineStr">
        <is>
          <t>TV % of EV</t>
        </is>
      </c>
      <c r="B33" s="3">
        <f>B25/B26</f>
        <v/>
      </c>
    </row>
    <row r="40">
      <c r="A40" s="19" t="inlineStr">
        <is>
          <t>Headline DCF Px</t>
        </is>
      </c>
      <c r="B40" s="24">
        <f>B30</f>
        <v/>
      </c>
    </row>
  </sheetData>
  <mergeCells count="2">
    <mergeCell ref="A3:B3"/>
    <mergeCell ref="A1:H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8.7109375" customWidth="1" min="1" max="1"/>
    <col width="16.7109375" customWidth="1" min="2" max="8"/>
  </cols>
  <sheetData>
    <row r="1">
      <c r="A1" s="11" t="inlineStr">
        <is>
          <t>LBO Model — Sources/Uses, Debt Schedule, Returns</t>
        </is>
      </c>
      <c r="B1" s="27" t="n"/>
      <c r="C1" s="27" t="n"/>
      <c r="D1" s="27" t="n"/>
      <c r="E1" s="27" t="n"/>
      <c r="F1" s="27" t="n"/>
      <c r="G1" s="27" t="n"/>
      <c r="H1" s="22" t="n"/>
    </row>
    <row r="3">
      <c r="A3" s="4" t="inlineStr">
        <is>
          <t>Sources</t>
        </is>
      </c>
      <c r="B3" s="27" t="n"/>
      <c r="C3" s="22" t="n"/>
    </row>
    <row r="4">
      <c r="A4" s="16" t="inlineStr">
        <is>
          <t>Source</t>
        </is>
      </c>
      <c r="B4" s="16" t="inlineStr">
        <is>
          <t>$ Amount</t>
        </is>
      </c>
      <c r="C4" s="16" t="inlineStr">
        <is>
          <t>% Total</t>
        </is>
      </c>
    </row>
    <row r="5">
      <c r="A5" s="2" t="inlineStr">
        <is>
          <t>New Term Debt</t>
        </is>
      </c>
      <c r="B5" s="32">
        <f>ib_EBDA1*ib_leverage</f>
        <v/>
      </c>
      <c r="C5" s="3">
        <f>B5/B7</f>
        <v/>
      </c>
    </row>
    <row r="6">
      <c r="A6" s="2" t="inlineStr">
        <is>
          <t>Sponsor Equity</t>
        </is>
      </c>
      <c r="B6" s="32">
        <f>B12-B5+B11</f>
        <v/>
      </c>
      <c r="C6" s="3">
        <f>B6/B7</f>
        <v/>
      </c>
    </row>
    <row r="7">
      <c r="A7" s="19" t="inlineStr">
        <is>
          <t>Total Sources</t>
        </is>
      </c>
      <c r="B7" s="32">
        <f>B5+B6</f>
        <v/>
      </c>
      <c r="C7" s="3">
        <f>1</f>
        <v/>
      </c>
    </row>
    <row r="9">
      <c r="A9" s="4" t="inlineStr">
        <is>
          <t>Uses</t>
        </is>
      </c>
      <c r="B9" s="27" t="n"/>
      <c r="C9" s="22" t="n"/>
    </row>
    <row r="10">
      <c r="A10" s="16" t="inlineStr">
        <is>
          <t>Use</t>
        </is>
      </c>
      <c r="B10" s="16" t="inlineStr">
        <is>
          <t>$ Amount</t>
        </is>
      </c>
      <c r="C10" s="16" t="n"/>
    </row>
    <row r="11">
      <c r="A11" s="2" t="inlineStr">
        <is>
          <t>Transaction Fees (2% EV)</t>
        </is>
      </c>
      <c r="B11" s="32">
        <f>B12*0.02</f>
        <v/>
      </c>
    </row>
    <row r="12">
      <c r="A12" s="2" t="inlineStr">
        <is>
          <t>Equity Purchase Price</t>
        </is>
      </c>
      <c r="B12" s="32">
        <f>ib_EBDA1*ib_entrym</f>
        <v/>
      </c>
    </row>
    <row r="13">
      <c r="A13" s="19" t="inlineStr">
        <is>
          <t>Total Uses</t>
        </is>
      </c>
      <c r="B13" s="32">
        <f>B11+B12</f>
        <v/>
      </c>
    </row>
    <row r="15">
      <c r="A15" s="4" t="inlineStr">
        <is>
          <t>Debt schedule (formulas)</t>
        </is>
      </c>
      <c r="B15" s="27" t="n"/>
      <c r="C15" s="27" t="n"/>
      <c r="D15" s="27" t="n"/>
      <c r="E15" s="27" t="n"/>
      <c r="F15" s="27" t="n"/>
      <c r="G15" s="22" t="n"/>
    </row>
    <row r="16">
      <c r="A16" s="16" t="inlineStr">
        <is>
          <t>Year</t>
        </is>
      </c>
      <c r="B16" s="16" t="inlineStr">
        <is>
          <t>Y1</t>
        </is>
      </c>
      <c r="C16" s="16" t="inlineStr">
        <is>
          <t>Y2</t>
        </is>
      </c>
      <c r="D16" s="16" t="inlineStr">
        <is>
          <t>Y3</t>
        </is>
      </c>
      <c r="E16" s="16" t="inlineStr">
        <is>
          <t>Y4</t>
        </is>
      </c>
      <c r="F16" s="16" t="inlineStr">
        <is>
          <t>Y5</t>
        </is>
      </c>
    </row>
    <row r="17">
      <c r="A17" s="2" t="inlineStr">
        <is>
          <t>Beginning Debt</t>
        </is>
      </c>
      <c r="B17" s="32">
        <f>B5</f>
        <v/>
      </c>
      <c r="C17" s="32">
        <f>B26</f>
        <v/>
      </c>
      <c r="D17" s="32">
        <f>C26</f>
        <v/>
      </c>
      <c r="E17" s="32">
        <f>D26</f>
        <v/>
      </c>
      <c r="F17" s="32">
        <f>E26</f>
        <v/>
      </c>
    </row>
    <row r="18">
      <c r="A18" s="2" t="inlineStr">
        <is>
          <t>Mandatory Amort (1%)</t>
        </is>
      </c>
      <c r="B18" s="32">
        <f>B17*0.01</f>
        <v/>
      </c>
      <c r="C18" s="32">
        <f>C17*0.01</f>
        <v/>
      </c>
      <c r="D18" s="32">
        <f>D17*0.01</f>
        <v/>
      </c>
      <c r="E18" s="32">
        <f>E17*0.01</f>
        <v/>
      </c>
      <c r="F18" s="32">
        <f>F17*0.01</f>
        <v/>
      </c>
    </row>
    <row r="19">
      <c r="A19" s="2" t="inlineStr">
        <is>
          <t>Cash Interest</t>
        </is>
      </c>
      <c r="B19" s="32">
        <f>B17*ib_kdLBO</f>
        <v/>
      </c>
      <c r="C19" s="32">
        <f>C17*ib_kdLBO</f>
        <v/>
      </c>
      <c r="D19" s="32">
        <f>D17*ib_kdLBO</f>
        <v/>
      </c>
      <c r="E19" s="32">
        <f>E17*ib_kdLBO</f>
        <v/>
      </c>
      <c r="F19" s="32">
        <f>F17*ib_kdLBO</f>
        <v/>
      </c>
    </row>
    <row r="20">
      <c r="A20" s="2" t="inlineStr">
        <is>
          <t>EBITDA</t>
        </is>
      </c>
      <c r="B20" s="32">
        <f>Forecast!C5</f>
        <v/>
      </c>
      <c r="C20" s="32">
        <f>Forecast!D5</f>
        <v/>
      </c>
      <c r="D20" s="32">
        <f>Forecast!E5</f>
        <v/>
      </c>
      <c r="E20" s="32">
        <f>Forecast!F5</f>
        <v/>
      </c>
      <c r="F20" s="32">
        <f>Forecast!G5</f>
        <v/>
      </c>
    </row>
    <row r="21">
      <c r="A21" s="2" t="inlineStr">
        <is>
          <t>Less: Cash Taxes</t>
        </is>
      </c>
      <c r="B21" s="32">
        <f>(Forecast!C8-B19)*ib_tax</f>
        <v/>
      </c>
      <c r="C21" s="32">
        <f>(Forecast!D8-C19)*ib_tax</f>
        <v/>
      </c>
      <c r="D21" s="32">
        <f>(Forecast!E8-D19)*ib_tax</f>
        <v/>
      </c>
      <c r="E21" s="32">
        <f>(Forecast!F8-E19)*ib_tax</f>
        <v/>
      </c>
      <c r="F21" s="32">
        <f>(Forecast!G8-F19)*ib_tax</f>
        <v/>
      </c>
    </row>
    <row r="22">
      <c r="A22" s="2" t="inlineStr">
        <is>
          <t>Less: Capex</t>
        </is>
      </c>
      <c r="B22" s="32">
        <f>Forecast!C11</f>
        <v/>
      </c>
      <c r="C22" s="32">
        <f>Forecast!D11</f>
        <v/>
      </c>
      <c r="D22" s="32">
        <f>Forecast!E11</f>
        <v/>
      </c>
      <c r="E22" s="32">
        <f>Forecast!F11</f>
        <v/>
      </c>
      <c r="F22" s="32">
        <f>Forecast!G11</f>
        <v/>
      </c>
    </row>
    <row r="23">
      <c r="A23" s="2" t="inlineStr">
        <is>
          <t>Less: Δ NWC</t>
        </is>
      </c>
      <c r="B23" s="32">
        <f>Forecast!C12</f>
        <v/>
      </c>
      <c r="C23" s="32">
        <f>Forecast!D12</f>
        <v/>
      </c>
      <c r="D23" s="32">
        <f>Forecast!E12</f>
        <v/>
      </c>
      <c r="E23" s="32">
        <f>Forecast!F12</f>
        <v/>
      </c>
      <c r="F23" s="32">
        <f>Forecast!G12</f>
        <v/>
      </c>
    </row>
    <row r="24">
      <c r="A24" s="2" t="inlineStr">
        <is>
          <t>CFADS</t>
        </is>
      </c>
      <c r="B24" s="32">
        <f>B20-B19-MAX(0,B21)-B22-B23</f>
        <v/>
      </c>
      <c r="C24" s="32">
        <f>C20-C19-MAX(0,C21)-C22-C23</f>
        <v/>
      </c>
      <c r="D24" s="32">
        <f>D20-D19-MAX(0,D21)-D22-D23</f>
        <v/>
      </c>
      <c r="E24" s="32">
        <f>E20-E19-MAX(0,E21)-E22-E23</f>
        <v/>
      </c>
      <c r="F24" s="32">
        <f>F20-F19-MAX(0,F21)-F22-F23</f>
        <v/>
      </c>
    </row>
    <row r="25">
      <c r="A25" s="2" t="inlineStr">
        <is>
          <t>Cash Sweep</t>
        </is>
      </c>
      <c r="B25" s="32">
        <f>MIN(MAX(0,(B24-B18))*ib_sweep,MAX(0,B17-B18))</f>
        <v/>
      </c>
      <c r="C25" s="32">
        <f>MIN(MAX(0,(C24-C18))*ib_sweep,MAX(0,C17-C18))</f>
        <v/>
      </c>
      <c r="D25" s="32">
        <f>MIN(MAX(0,(D24-D18))*ib_sweep,MAX(0,D17-D18))</f>
        <v/>
      </c>
      <c r="E25" s="32">
        <f>MIN(MAX(0,(E24-E18))*ib_sweep,MAX(0,E17-E18))</f>
        <v/>
      </c>
      <c r="F25" s="32">
        <f>MIN(MAX(0,(F24-F18))*ib_sweep,MAX(0,F17-F18))</f>
        <v/>
      </c>
    </row>
    <row r="26">
      <c r="A26" s="2" t="inlineStr">
        <is>
          <t>Ending Debt</t>
        </is>
      </c>
      <c r="B26" s="32">
        <f>B17-B18-B25</f>
        <v/>
      </c>
      <c r="C26" s="32">
        <f>C17-C18-C25</f>
        <v/>
      </c>
      <c r="D26" s="32">
        <f>D17-D18-D25</f>
        <v/>
      </c>
      <c r="E26" s="32">
        <f>E17-E18-E25</f>
        <v/>
      </c>
      <c r="F26" s="32">
        <f>F17-F18-F25</f>
        <v/>
      </c>
    </row>
    <row r="27">
      <c r="A27" s="2" t="inlineStr">
        <is>
          <t>Net Debt / EBITDA</t>
        </is>
      </c>
      <c r="B27" s="26">
        <f>B26/B20</f>
        <v/>
      </c>
      <c r="C27" s="26">
        <f>C26/C20</f>
        <v/>
      </c>
      <c r="D27" s="26">
        <f>D26/D20</f>
        <v/>
      </c>
      <c r="E27" s="26">
        <f>E26/E20</f>
        <v/>
      </c>
      <c r="F27" s="26">
        <f>F26/F20</f>
        <v/>
      </c>
    </row>
    <row r="28">
      <c r="A28" s="2" t="inlineStr">
        <is>
          <t>Interest Coverage</t>
        </is>
      </c>
      <c r="B28" s="26">
        <f>B20/B19</f>
        <v/>
      </c>
      <c r="C28" s="26">
        <f>C20/C19</f>
        <v/>
      </c>
      <c r="D28" s="26">
        <f>D20/D19</f>
        <v/>
      </c>
      <c r="E28" s="26">
        <f>E20/E19</f>
        <v/>
      </c>
      <c r="F28" s="26">
        <f>F20/F19</f>
        <v/>
      </c>
    </row>
    <row r="30">
      <c r="A30" s="4" t="inlineStr">
        <is>
          <t>Sponsor Returns</t>
        </is>
      </c>
      <c r="B30" s="27" t="n"/>
      <c r="C30" s="22" t="n"/>
    </row>
    <row r="31">
      <c r="A31" s="2" t="inlineStr">
        <is>
          <t>Exit Year EBITDA</t>
        </is>
      </c>
      <c r="B31" s="32">
        <f>Forecast!G5</f>
        <v/>
      </c>
    </row>
    <row r="32">
      <c r="A32" s="2" t="inlineStr">
        <is>
          <t>Exit Multiple</t>
        </is>
      </c>
      <c r="B32" s="26">
        <f>ib_exitm</f>
        <v/>
      </c>
    </row>
    <row r="33">
      <c r="A33" s="19" t="inlineStr">
        <is>
          <t>Exit EV</t>
        </is>
      </c>
      <c r="B33" s="32">
        <f>B31*B32</f>
        <v/>
      </c>
    </row>
    <row r="34">
      <c r="A34" s="2" t="inlineStr">
        <is>
          <t>Less: Exit Debt</t>
        </is>
      </c>
      <c r="B34" s="32">
        <f>F26</f>
        <v/>
      </c>
    </row>
    <row r="35">
      <c r="A35" s="2" t="inlineStr">
        <is>
          <t>Plus: Retained Cash</t>
        </is>
      </c>
      <c r="B35" s="32">
        <f>SUMPRODUCT((B24:F24-B25:F25-B18:F18&gt;0)*(B24:F24-B25:F25-B18:F18))</f>
        <v/>
      </c>
    </row>
    <row r="36">
      <c r="A36" s="19" t="inlineStr">
        <is>
          <t>Equity to Sponsor</t>
        </is>
      </c>
      <c r="B36" s="32">
        <f>B33-B34+B35</f>
        <v/>
      </c>
    </row>
    <row r="37">
      <c r="A37" s="2" t="inlineStr">
        <is>
          <t>Sponsor Equity Invested</t>
        </is>
      </c>
      <c r="B37" s="32">
        <f>B6</f>
        <v/>
      </c>
    </row>
    <row r="38">
      <c r="A38" s="19" t="inlineStr">
        <is>
          <t>MOIC</t>
        </is>
      </c>
      <c r="B38" s="24">
        <f>B36/B37</f>
        <v/>
      </c>
    </row>
    <row r="39">
      <c r="A39" s="2" t="inlineStr">
        <is>
          <t>Hold Period</t>
        </is>
      </c>
      <c r="B39" s="33">
        <f>ib_hold</f>
        <v/>
      </c>
    </row>
    <row r="40">
      <c r="A40" s="19" t="inlineStr">
        <is>
          <t>IRR</t>
        </is>
      </c>
      <c r="B40" s="25">
        <f>B38^(1/B39)-1</f>
        <v/>
      </c>
    </row>
    <row r="41">
      <c r="A41" s="19" t="inlineStr">
        <is>
          <t>MOIC (linked)</t>
        </is>
      </c>
      <c r="B41" s="24">
        <f>B38</f>
        <v/>
      </c>
    </row>
  </sheetData>
  <mergeCells count="5">
    <mergeCell ref="A9:C9"/>
    <mergeCell ref="A3:C3"/>
    <mergeCell ref="A15:G15"/>
    <mergeCell ref="A30:C30"/>
    <mergeCell ref="A1:H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6.7109375" customWidth="1" min="1" max="1"/>
    <col width="18.7109375" customWidth="1" min="2" max="4"/>
  </cols>
  <sheetData>
    <row r="1">
      <c r="A1" s="11" t="inlineStr">
        <is>
          <t>LBO Returns Attribution</t>
        </is>
      </c>
      <c r="B1" s="27" t="n"/>
      <c r="C1" s="27" t="n"/>
      <c r="D1" s="22" t="n"/>
    </row>
    <row r="3">
      <c r="A3" s="4" t="inlineStr">
        <is>
          <t>Decomposition of value created over hold</t>
        </is>
      </c>
      <c r="B3" s="27" t="n"/>
      <c r="C3" s="27" t="n"/>
      <c r="D3" s="22" t="n"/>
    </row>
    <row r="4">
      <c r="A4" s="16" t="inlineStr">
        <is>
          <t>Driver</t>
        </is>
      </c>
      <c r="B4" s="16" t="inlineStr">
        <is>
          <t>$ Contribution</t>
        </is>
      </c>
      <c r="C4" s="16" t="inlineStr">
        <is>
          <t>% of Total</t>
        </is>
      </c>
      <c r="D4" s="16" t="inlineStr">
        <is>
          <t>Notes</t>
        </is>
      </c>
    </row>
    <row r="5">
      <c r="A5" s="2" t="inlineStr">
        <is>
          <t>EBITDA Growth</t>
        </is>
      </c>
      <c r="B5" s="32" t="n">
        <v>111507462327.3031</v>
      </c>
      <c r="C5" s="3" t="n">
        <v>1.335971808635643</v>
      </c>
      <c r="D5" s="10">
        <f> (Exit EBITDA − Entry EBITDA) × Entry Multiple</f>
        <v/>
      </c>
    </row>
    <row r="6">
      <c r="A6" s="2" t="inlineStr">
        <is>
          <t>Multiple Expansion / (Compression)</t>
        </is>
      </c>
      <c r="B6" s="32" t="n">
        <v>-32408032147.15066</v>
      </c>
      <c r="C6" s="3" t="n">
        <v>-0.388280895451332</v>
      </c>
      <c r="D6" s="10">
        <f> Exit EBITDA × (Exit Mult − Entry Mult)</f>
        <v/>
      </c>
    </row>
    <row r="7">
      <c r="A7" s="2" t="inlineStr">
        <is>
          <t>Debt Paydown + Cash Generation</t>
        </is>
      </c>
      <c r="B7" s="32" t="n">
        <v>4366000457.324661</v>
      </c>
      <c r="C7" s="3" t="n">
        <v>0.05230908681568902</v>
      </c>
      <c r="D7" s="10">
        <f> ΔDebt + retained cash + recaps</f>
        <v/>
      </c>
    </row>
    <row r="8">
      <c r="A8" s="19" t="inlineStr">
        <is>
          <t>Total Value Creation</t>
        </is>
      </c>
      <c r="B8" s="32" t="n">
        <v>83465430637.47713</v>
      </c>
      <c r="C8" s="3" t="n">
        <v>1</v>
      </c>
      <c r="D8" s="10" t="inlineStr">
        <is>
          <t>Sum of above (≈ change in sponsor equity)</t>
        </is>
      </c>
    </row>
    <row r="11">
      <c r="A11" s="4" t="inlineStr">
        <is>
          <t>How to read this</t>
        </is>
      </c>
      <c r="B11" s="27" t="n"/>
      <c r="C11" s="27" t="n"/>
      <c r="D11" s="22" t="n"/>
    </row>
    <row r="12">
      <c r="A12" s="10" t="inlineStr">
        <is>
          <t>If EBITDA Growth dominates, the deal works on operational improvement. If Multiple Expansion dominates, the thesis is multiple re-rating — fragile. If Debt Paydown dominates, the deal is a financial-engineering bet — sensitive to interest rate environment and refinancing risk.</t>
        </is>
      </c>
    </row>
    <row r="13"/>
    <row r="14"/>
    <row r="15"/>
    <row r="16"/>
  </sheetData>
  <mergeCells count="4">
    <mergeCell ref="A1:D1"/>
    <mergeCell ref="A3:D3"/>
    <mergeCell ref="A12:D16"/>
    <mergeCell ref="A11:D1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6.7109375" customWidth="1" min="1" max="1"/>
    <col width="18.7109375" customWidth="1" min="2" max="5"/>
  </cols>
  <sheetData>
    <row r="1">
      <c r="A1" s="11" t="inlineStr">
        <is>
          <t>M&amp;A Accretion / Dilution</t>
        </is>
      </c>
      <c r="B1" s="27" t="n"/>
      <c r="C1" s="27" t="n"/>
      <c r="D1" s="27" t="n"/>
      <c r="E1" s="22" t="n"/>
    </row>
    <row r="3">
      <c r="A3" s="4" t="inlineStr">
        <is>
          <t>Transaction summary</t>
        </is>
      </c>
      <c r="B3" s="22" t="n"/>
    </row>
    <row r="4">
      <c r="A4" s="2" t="inlineStr">
        <is>
          <t>Target Current Price</t>
        </is>
      </c>
      <c r="B4" s="32" t="n">
        <v>65</v>
      </c>
    </row>
    <row r="5">
      <c r="A5" s="2" t="inlineStr">
        <is>
          <t>Premium %</t>
        </is>
      </c>
      <c r="B5" s="32" t="n">
        <v>0.3</v>
      </c>
    </row>
    <row r="6">
      <c r="A6" s="2" t="inlineStr">
        <is>
          <t>Offer Price/Share</t>
        </is>
      </c>
      <c r="B6" s="32" t="n">
        <v>84.5</v>
      </c>
    </row>
    <row r="7">
      <c r="A7" s="2" t="inlineStr">
        <is>
          <t>Target Shares Outstanding</t>
        </is>
      </c>
      <c r="B7" s="32" t="n">
        <v>230769230.7692308</v>
      </c>
    </row>
    <row r="8">
      <c r="A8" s="2" t="inlineStr">
        <is>
          <t>Equity Purchase Price</t>
        </is>
      </c>
      <c r="B8" s="32" t="n">
        <v>19500000000</v>
      </c>
    </row>
    <row r="9">
      <c r="A9" s="2" t="inlineStr">
        <is>
          <t>Target Net Debt Assumed</t>
        </is>
      </c>
      <c r="B9" s="32" t="n">
        <v>3050000000</v>
      </c>
    </row>
    <row r="10">
      <c r="A10" s="2" t="inlineStr">
        <is>
          <t>Deal Fees</t>
        </is>
      </c>
      <c r="B10" s="32" t="n">
        <v>338250000</v>
      </c>
    </row>
    <row r="11">
      <c r="A11" s="2" t="inlineStr">
        <is>
          <t>Total Deal Value</t>
        </is>
      </c>
      <c r="B11" s="32" t="n">
        <v>22550000000</v>
      </c>
    </row>
    <row r="14">
      <c r="A14" s="4" t="inlineStr">
        <is>
          <t>Pro-forma EPS by financing mix</t>
        </is>
      </c>
      <c r="B14" s="27" t="n"/>
      <c r="C14" s="27" t="n"/>
      <c r="D14" s="27" t="n"/>
      <c r="E14" s="22" t="n"/>
    </row>
    <row r="15">
      <c r="A15" s="16" t="inlineStr">
        <is>
          <t>Metric</t>
        </is>
      </c>
      <c r="B15" s="16" t="inlineStr">
        <is>
          <t>All Stock</t>
        </is>
      </c>
      <c r="C15" s="16" t="inlineStr">
        <is>
          <t>All Cash</t>
        </is>
      </c>
      <c r="D15" s="16" t="inlineStr">
        <is>
          <t>50/50 Mix</t>
        </is>
      </c>
    </row>
    <row r="16">
      <c r="A16" s="2" t="inlineStr">
        <is>
          <t>Stock %</t>
        </is>
      </c>
      <c r="B16" s="3" t="n">
        <v>1</v>
      </c>
      <c r="C16" s="3" t="n">
        <v>0</v>
      </c>
      <c r="D16" s="3" t="n">
        <v>0.5</v>
      </c>
    </row>
    <row r="17">
      <c r="A17" s="2" t="inlineStr">
        <is>
          <t>Cash %</t>
        </is>
      </c>
      <c r="B17" s="3" t="n">
        <v>0</v>
      </c>
      <c r="C17" s="3" t="n">
        <v>1</v>
      </c>
      <c r="D17" s="3" t="n">
        <v>0.5</v>
      </c>
    </row>
    <row r="18">
      <c r="A18" s="2" t="inlineStr">
        <is>
          <t>New Shares Issued</t>
        </is>
      </c>
      <c r="B18" s="32" t="n">
        <v>179806362.3789765</v>
      </c>
      <c r="C18" s="32" t="n">
        <v>0</v>
      </c>
      <c r="D18" s="32" t="n">
        <v>89903181.18948825</v>
      </c>
    </row>
    <row r="19">
      <c r="A19" s="2" t="inlineStr">
        <is>
          <t>New Debt Raised</t>
        </is>
      </c>
      <c r="B19" s="32" t="n">
        <v>338250000</v>
      </c>
      <c r="C19" s="32" t="n">
        <v>19838250000</v>
      </c>
      <c r="D19" s="32" t="n">
        <v>10088250000</v>
      </c>
    </row>
    <row r="20">
      <c r="A20" s="2" t="inlineStr">
        <is>
          <t>After-tax Interest</t>
        </is>
      </c>
      <c r="B20" s="32" t="n">
        <v>20125875</v>
      </c>
      <c r="C20" s="32" t="n">
        <v>1180375875</v>
      </c>
      <c r="D20" s="32" t="n">
        <v>600250875.0000001</v>
      </c>
    </row>
    <row r="21">
      <c r="A21" s="2" t="inlineStr">
        <is>
          <t>Synergies (after-tax)</t>
        </is>
      </c>
      <c r="B21" s="32" t="n">
        <v>564187500</v>
      </c>
      <c r="C21" s="32" t="n">
        <v>564187500</v>
      </c>
      <c r="D21" s="32" t="n">
        <v>564187500</v>
      </c>
    </row>
    <row r="22">
      <c r="A22" s="2" t="inlineStr">
        <is>
          <t>Pro-forma Net Income</t>
        </is>
      </c>
      <c r="B22" s="32" t="n">
        <v>8164061625</v>
      </c>
      <c r="C22" s="32" t="n">
        <v>7003811625</v>
      </c>
      <c r="D22" s="32" t="n">
        <v>7583936625</v>
      </c>
    </row>
    <row r="23">
      <c r="A23" s="2" t="inlineStr">
        <is>
          <t>Pro-forma Shares</t>
        </is>
      </c>
      <c r="B23" s="32" t="n">
        <v>1299806362.378977</v>
      </c>
      <c r="C23" s="32" t="n">
        <v>1120000000</v>
      </c>
      <c r="D23" s="32" t="n">
        <v>1209903181.189488</v>
      </c>
    </row>
    <row r="24">
      <c r="A24" s="2" t="inlineStr">
        <is>
          <t>Pro-forma EPS</t>
        </is>
      </c>
      <c r="B24" s="32" t="n">
        <v>6.280982968922916</v>
      </c>
      <c r="C24" s="32" t="n">
        <v>6.253403236607143</v>
      </c>
      <c r="D24" s="32" t="n">
        <v>6.26821777387512</v>
      </c>
    </row>
    <row r="25">
      <c r="A25" s="2" t="inlineStr">
        <is>
          <t>Acquirer Standalone EPS</t>
        </is>
      </c>
      <c r="B25" s="32" t="n">
        <v>6.446428571428571</v>
      </c>
      <c r="C25" s="32" t="n">
        <v>6.446428571428571</v>
      </c>
      <c r="D25" s="32" t="n">
        <v>6.446428571428571</v>
      </c>
    </row>
    <row r="26">
      <c r="A26" s="2" t="inlineStr">
        <is>
          <t>Accretion / (Dilution) %</t>
        </is>
      </c>
      <c r="B26" s="3" t="n">
        <v>-0.02566469180143127</v>
      </c>
      <c r="C26" s="3" t="n">
        <v>-0.02994298822714669</v>
      </c>
      <c r="D26" s="3" t="n">
        <v>-0.02764488826313916</v>
      </c>
    </row>
  </sheetData>
  <mergeCells count="3">
    <mergeCell ref="A1:E1"/>
    <mergeCell ref="A3:B3"/>
    <mergeCell ref="A14:E14"/>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S28"/>
  <sheetViews>
    <sheetView workbookViewId="0">
      <selection activeCell="A1" sqref="A1"/>
    </sheetView>
  </sheetViews>
  <sheetFormatPr baseColWidth="8" defaultRowHeight="15"/>
  <cols>
    <col width="22.7109375" customWidth="1" min="1" max="1"/>
    <col width="14.7109375" customWidth="1" min="2" max="26"/>
  </cols>
  <sheetData>
    <row r="1">
      <c r="A1" s="11" t="inlineStr">
        <is>
          <t>Comparable Company Analysis</t>
        </is>
      </c>
      <c r="B1" s="27" t="n"/>
      <c r="C1" s="27" t="n"/>
      <c r="D1" s="27" t="n"/>
      <c r="E1" s="27" t="n"/>
      <c r="F1" s="27" t="n"/>
      <c r="G1" s="27" t="n"/>
      <c r="H1" s="27" t="n"/>
      <c r="I1" s="27" t="n"/>
      <c r="J1" s="27" t="n"/>
      <c r="K1" s="27" t="n"/>
      <c r="L1" s="27" t="n"/>
      <c r="M1" s="22" t="n"/>
    </row>
    <row r="3">
      <c r="A3" s="16" t="inlineStr">
        <is>
          <t>Ticker</t>
        </is>
      </c>
      <c r="B3" s="16" t="inlineStr">
        <is>
          <t>Name</t>
        </is>
      </c>
      <c r="C3" s="16" t="inlineStr">
        <is>
          <t>Sector</t>
        </is>
      </c>
      <c r="D3" s="16" t="inlineStr">
        <is>
          <t>Industry</t>
        </is>
      </c>
      <c r="E3" s="16" t="inlineStr">
        <is>
          <t>Price</t>
        </is>
      </c>
      <c r="F3" s="16" t="inlineStr">
        <is>
          <t>Market Cap</t>
        </is>
      </c>
      <c r="G3" s="16" t="inlineStr">
        <is>
          <t>Enterprise Value</t>
        </is>
      </c>
      <c r="H3" s="16" t="inlineStr">
        <is>
          <t>Revenue (LTM)</t>
        </is>
      </c>
      <c r="I3" s="16" t="inlineStr">
        <is>
          <t>EBITDA (LTM, Adj)</t>
        </is>
      </c>
      <c r="J3" s="16" t="inlineStr">
        <is>
          <t>Net Income (LTM)</t>
        </is>
      </c>
      <c r="K3" s="16" t="inlineStr">
        <is>
          <t>Diluted EPS (LTM)</t>
        </is>
      </c>
      <c r="L3" s="16" t="inlineStr">
        <is>
          <t>Forward EPS</t>
        </is>
      </c>
      <c r="M3" s="16" t="inlineStr">
        <is>
          <t>Book Value</t>
        </is>
      </c>
      <c r="N3" s="16" t="inlineStr">
        <is>
          <t>EV/Revenue (LTM)</t>
        </is>
      </c>
      <c r="O3" s="16" t="inlineStr">
        <is>
          <t>EV/EBITDA (LTM)</t>
        </is>
      </c>
      <c r="P3" s="16" t="inlineStr">
        <is>
          <t>EV/EBITDA (yf)</t>
        </is>
      </c>
      <c r="Q3" s="16" t="inlineStr">
        <is>
          <t>P/E (LTM)</t>
        </is>
      </c>
      <c r="R3" s="16" t="inlineStr">
        <is>
          <t>Forward P/E</t>
        </is>
      </c>
      <c r="S3" s="16" t="inlineStr">
        <is>
          <t>P/B</t>
        </is>
      </c>
    </row>
    <row r="4">
      <c r="A4" t="inlineStr">
        <is>
          <t>MU</t>
        </is>
      </c>
      <c r="B4" t="inlineStr">
        <is>
          <t>Micron Technology, Inc.</t>
        </is>
      </c>
      <c r="C4" t="inlineStr">
        <is>
          <t>Technology</t>
        </is>
      </c>
      <c r="D4" t="inlineStr">
        <is>
          <t>Semiconductors</t>
        </is>
      </c>
      <c r="E4" s="32" t="n">
        <v>108.45</v>
      </c>
      <c r="F4" s="32" t="n">
        <v>121500000000</v>
      </c>
      <c r="G4" s="32" t="n">
        <v>125350000000</v>
      </c>
      <c r="H4" s="32" t="n">
        <v>35500000000</v>
      </c>
      <c r="I4" s="32" t="n">
        <v>15910000000</v>
      </c>
      <c r="J4" s="32" t="n">
        <v>7220000000</v>
      </c>
      <c r="K4" s="32" t="n">
        <v>6.45</v>
      </c>
      <c r="M4" s="32" t="n">
        <v>44300000000</v>
      </c>
      <c r="N4" s="26" t="n">
        <v>3.530985915492958</v>
      </c>
      <c r="O4" s="26" t="n">
        <v>7.878692646134507</v>
      </c>
      <c r="Q4" s="26" t="n">
        <v>16.81395348837209</v>
      </c>
      <c r="R4" s="26" t="n">
        <v>14.2</v>
      </c>
      <c r="S4" s="26" t="n">
        <v>2.742663656884876</v>
      </c>
    </row>
    <row r="5">
      <c r="A5" t="inlineStr">
        <is>
          <t>WDC</t>
        </is>
      </c>
      <c r="B5" t="inlineStr">
        <is>
          <t>Western Digital</t>
        </is>
      </c>
      <c r="C5" t="inlineStr">
        <is>
          <t>Technology</t>
        </is>
      </c>
      <c r="D5" t="inlineStr">
        <is>
          <t>Semiconductors</t>
        </is>
      </c>
      <c r="E5" s="32" t="n">
        <v>65</v>
      </c>
      <c r="F5" s="32" t="n">
        <v>15000000000</v>
      </c>
      <c r="G5" s="32" t="n">
        <v>19000000000</v>
      </c>
      <c r="H5" s="32" t="n">
        <v>12500000000</v>
      </c>
      <c r="I5" s="32" t="n">
        <v>1250000000</v>
      </c>
      <c r="J5" s="32" t="n">
        <v>400000000</v>
      </c>
      <c r="K5" s="32" t="n">
        <v>1.2</v>
      </c>
      <c r="M5" s="32" t="n">
        <v>5000000000</v>
      </c>
      <c r="N5" s="26" t="n">
        <v>1.52</v>
      </c>
      <c r="O5" s="26" t="n">
        <v>15.2</v>
      </c>
      <c r="Q5" s="26" t="n">
        <v>54.16666666666667</v>
      </c>
      <c r="S5" s="26" t="n">
        <v>3</v>
      </c>
    </row>
    <row r="6">
      <c r="A6" t="inlineStr">
        <is>
          <t>STX</t>
        </is>
      </c>
      <c r="B6" t="inlineStr">
        <is>
          <t>Seagate Technology</t>
        </is>
      </c>
      <c r="C6" t="inlineStr">
        <is>
          <t>Technology</t>
        </is>
      </c>
      <c r="D6" t="inlineStr">
        <is>
          <t>Semiconductors</t>
        </is>
      </c>
      <c r="E6" s="32" t="n">
        <v>102</v>
      </c>
      <c r="F6" s="32" t="n">
        <v>22000000000</v>
      </c>
      <c r="G6" s="32" t="n">
        <v>27000000000</v>
      </c>
      <c r="H6" s="32" t="n">
        <v>7000000000</v>
      </c>
      <c r="I6" s="32" t="n">
        <v>1260000000</v>
      </c>
      <c r="J6" s="32" t="n">
        <v>600000000</v>
      </c>
      <c r="K6" s="32" t="n">
        <v>2.85</v>
      </c>
      <c r="M6" s="32" t="n">
        <v>1500000000</v>
      </c>
      <c r="N6" s="26" t="n">
        <v>3.857142857142857</v>
      </c>
      <c r="O6" s="26" t="n">
        <v>21.42857142857143</v>
      </c>
      <c r="Q6" s="26" t="n">
        <v>35.78947368421053</v>
      </c>
      <c r="S6" s="26" t="n">
        <v>14.66666666666667</v>
      </c>
    </row>
    <row r="7">
      <c r="A7" t="inlineStr">
        <is>
          <t>NVDA</t>
        </is>
      </c>
      <c r="B7" t="inlineStr">
        <is>
          <t>NVIDIA</t>
        </is>
      </c>
      <c r="C7" t="inlineStr">
        <is>
          <t>Technology</t>
        </is>
      </c>
      <c r="D7" t="inlineStr">
        <is>
          <t>Semiconductors</t>
        </is>
      </c>
      <c r="E7" s="32" t="n">
        <v>122</v>
      </c>
      <c r="F7" s="32" t="n">
        <v>3000000000000</v>
      </c>
      <c r="G7" s="32" t="n">
        <v>2980000000000</v>
      </c>
      <c r="H7" s="32" t="n">
        <v>130000000000</v>
      </c>
      <c r="I7" s="32" t="n">
        <v>77400000000</v>
      </c>
      <c r="J7" s="32" t="n">
        <v>60000000000</v>
      </c>
      <c r="K7" s="32" t="n">
        <v>2.45</v>
      </c>
      <c r="M7" s="32" t="n">
        <v>50000000000</v>
      </c>
      <c r="N7" s="26" t="n">
        <v>22.92307692307692</v>
      </c>
      <c r="O7" s="26" t="n">
        <v>38.50129198966408</v>
      </c>
      <c r="Q7" s="26" t="n">
        <v>49.79591836734694</v>
      </c>
      <c r="S7" s="26" t="n">
        <v>60</v>
      </c>
    </row>
    <row r="8">
      <c r="A8" t="inlineStr">
        <is>
          <t>TSM</t>
        </is>
      </c>
      <c r="B8" t="inlineStr">
        <is>
          <t>Taiwan Semiconductor</t>
        </is>
      </c>
      <c r="C8" t="inlineStr">
        <is>
          <t>Technology</t>
        </is>
      </c>
      <c r="D8" t="inlineStr">
        <is>
          <t>Semiconductors</t>
        </is>
      </c>
      <c r="E8" s="32" t="n">
        <v>175</v>
      </c>
      <c r="F8" s="32" t="n">
        <v>900000000000</v>
      </c>
      <c r="G8" s="32" t="n">
        <v>870000000000</v>
      </c>
      <c r="H8" s="32" t="n">
        <v>90000000000</v>
      </c>
      <c r="I8" s="32" t="n">
        <v>58200000000</v>
      </c>
      <c r="J8" s="32" t="n">
        <v>33000000000</v>
      </c>
      <c r="K8" s="32" t="n">
        <v>6.3</v>
      </c>
      <c r="M8" s="32" t="n">
        <v>110000000000</v>
      </c>
      <c r="N8" s="26" t="n">
        <v>9.666666666666666</v>
      </c>
      <c r="O8" s="26" t="n">
        <v>14.94845360824742</v>
      </c>
      <c r="Q8" s="26" t="n">
        <v>27.77777777777778</v>
      </c>
      <c r="S8" s="26" t="n">
        <v>8.181818181818182</v>
      </c>
    </row>
    <row r="9">
      <c r="A9" t="inlineStr">
        <is>
          <t>AVGO</t>
        </is>
      </c>
      <c r="B9" t="inlineStr">
        <is>
          <t>Broadcom</t>
        </is>
      </c>
      <c r="C9" t="inlineStr">
        <is>
          <t>Technology</t>
        </is>
      </c>
      <c r="D9" t="inlineStr">
        <is>
          <t>Semiconductors</t>
        </is>
      </c>
      <c r="E9" s="32" t="n">
        <v>168</v>
      </c>
      <c r="F9" s="32" t="n">
        <v>790000000000</v>
      </c>
      <c r="G9" s="32" t="n">
        <v>850000000000</v>
      </c>
      <c r="H9" s="32" t="n">
        <v>50000000000</v>
      </c>
      <c r="I9" s="32" t="n">
        <v>29000000000</v>
      </c>
      <c r="J9" s="32" t="n">
        <v>14000000000</v>
      </c>
      <c r="K9" s="32" t="n">
        <v>3.1</v>
      </c>
      <c r="M9" s="32" t="n">
        <v>70000000000</v>
      </c>
      <c r="N9" s="26" t="n">
        <v>17</v>
      </c>
      <c r="O9" s="26" t="n">
        <v>29.31034482758621</v>
      </c>
      <c r="Q9" s="26" t="n">
        <v>54.19354838709678</v>
      </c>
      <c r="S9" s="26" t="n">
        <v>11.28571428571429</v>
      </c>
    </row>
    <row r="10">
      <c r="A10" t="inlineStr">
        <is>
          <t>INTC</t>
        </is>
      </c>
      <c r="B10" t="inlineStr">
        <is>
          <t>Intel</t>
        </is>
      </c>
      <c r="C10" t="inlineStr">
        <is>
          <t>Technology</t>
        </is>
      </c>
      <c r="D10" t="inlineStr">
        <is>
          <t>Semiconductors</t>
        </is>
      </c>
      <c r="E10" s="32" t="n">
        <v>23</v>
      </c>
      <c r="F10" s="32" t="n">
        <v>100000000000</v>
      </c>
      <c r="G10" s="32" t="n">
        <v>130000000000</v>
      </c>
      <c r="H10" s="32" t="n">
        <v>55000000000</v>
      </c>
      <c r="I10" s="32" t="n">
        <v>8900000000</v>
      </c>
      <c r="J10" s="32" t="n">
        <v>1000000000</v>
      </c>
      <c r="K10" s="32" t="n">
        <v>0.2</v>
      </c>
      <c r="M10" s="32" t="n">
        <v>110000000000</v>
      </c>
      <c r="N10" s="26" t="n">
        <v>2.363636363636364</v>
      </c>
      <c r="O10" s="26" t="n">
        <v>14.60674157303371</v>
      </c>
      <c r="Q10" s="26" t="n">
        <v>115</v>
      </c>
      <c r="S10" s="26" t="n">
        <v>0.9090909090909091</v>
      </c>
    </row>
    <row r="11">
      <c r="A11" t="inlineStr">
        <is>
          <t>AMD</t>
        </is>
      </c>
      <c r="B11" t="inlineStr">
        <is>
          <t>AMD</t>
        </is>
      </c>
      <c r="C11" t="inlineStr">
        <is>
          <t>Technology</t>
        </is>
      </c>
      <c r="D11" t="inlineStr">
        <is>
          <t>Semiconductors</t>
        </is>
      </c>
      <c r="E11" s="32" t="n">
        <v>137</v>
      </c>
      <c r="F11" s="32" t="n">
        <v>220000000000</v>
      </c>
      <c r="G11" s="32" t="n">
        <v>230000000000</v>
      </c>
      <c r="H11" s="32" t="n">
        <v>25000000000</v>
      </c>
      <c r="I11" s="32" t="n">
        <v>4500000000</v>
      </c>
      <c r="J11" s="32" t="n">
        <v>2000000000</v>
      </c>
      <c r="K11" s="32" t="n">
        <v>1.2</v>
      </c>
      <c r="M11" s="32" t="n">
        <v>55000000000</v>
      </c>
      <c r="N11" s="26" t="n">
        <v>9.199999999999999</v>
      </c>
      <c r="O11" s="26" t="n">
        <v>51.11111111111111</v>
      </c>
      <c r="Q11" s="26" t="n">
        <v>114.1666666666667</v>
      </c>
      <c r="S11" s="26" t="n">
        <v>4</v>
      </c>
    </row>
    <row r="13">
      <c r="A13" s="4" t="inlineStr">
        <is>
          <t>Peer-set statistics</t>
        </is>
      </c>
      <c r="B13" s="27" t="n"/>
      <c r="C13" s="27" t="n"/>
      <c r="D13" s="27" t="n"/>
      <c r="E13" s="27" t="n"/>
      <c r="F13" s="27" t="n"/>
      <c r="G13" s="27" t="n"/>
      <c r="H13" s="22" t="n"/>
    </row>
    <row r="14">
      <c r="A14" s="16" t="inlineStr">
        <is>
          <t>Multiple</t>
        </is>
      </c>
      <c r="B14" s="16" t="inlineStr">
        <is>
          <t>Min</t>
        </is>
      </c>
      <c r="C14" s="16" t="inlineStr">
        <is>
          <t>p25</t>
        </is>
      </c>
      <c r="D14" s="16" t="inlineStr">
        <is>
          <t>Median</t>
        </is>
      </c>
      <c r="E14" s="16" t="inlineStr">
        <is>
          <t>Mean</t>
        </is>
      </c>
      <c r="F14" s="16" t="inlineStr">
        <is>
          <t>p75</t>
        </is>
      </c>
      <c r="G14" s="16" t="inlineStr">
        <is>
          <t>Max</t>
        </is>
      </c>
      <c r="H14" s="16" t="inlineStr">
        <is>
          <t>Std</t>
        </is>
      </c>
    </row>
    <row r="15">
      <c r="A15" s="2" t="inlineStr">
        <is>
          <t>EV/Revenue (LTM)</t>
        </is>
      </c>
      <c r="B15" s="26" t="n">
        <v>1.52</v>
      </c>
      <c r="C15" s="26" t="n">
        <v>3.11038961038961</v>
      </c>
      <c r="D15" s="26" t="n">
        <v>9.199999999999999</v>
      </c>
      <c r="E15" s="26" t="n">
        <v>9.504360401503259</v>
      </c>
      <c r="F15" s="26" t="n">
        <v>13.33333333333333</v>
      </c>
      <c r="G15" s="26" t="n">
        <v>22.92307692307692</v>
      </c>
      <c r="H15" s="26" t="n">
        <v>7.989540677807207</v>
      </c>
    </row>
    <row r="16">
      <c r="A16" s="2" t="inlineStr">
        <is>
          <t>EV/EBITDA (LTM)</t>
        </is>
      </c>
      <c r="B16" s="26" t="n">
        <v>14.60674157303371</v>
      </c>
      <c r="C16" s="26" t="n">
        <v>15.07422680412371</v>
      </c>
      <c r="D16" s="26" t="n">
        <v>21.42857142857143</v>
      </c>
      <c r="E16" s="26" t="n">
        <v>26.44378779117342</v>
      </c>
      <c r="F16" s="26" t="n">
        <v>33.90581840862514</v>
      </c>
      <c r="G16" s="26" t="n">
        <v>51.11111111111111</v>
      </c>
      <c r="H16" s="26" t="n">
        <v>14.05886983790034</v>
      </c>
    </row>
    <row r="17">
      <c r="A17" s="2" t="inlineStr">
        <is>
          <t>EV/EBITDA (yf)</t>
        </is>
      </c>
      <c r="B17" s="26" t="n">
        <v>0</v>
      </c>
      <c r="C17" s="26" t="n">
        <v>0</v>
      </c>
      <c r="D17" s="26" t="n">
        <v>0</v>
      </c>
      <c r="E17" s="26" t="n">
        <v>0</v>
      </c>
      <c r="F17" s="26" t="n">
        <v>0</v>
      </c>
      <c r="G17" s="26" t="n">
        <v>0</v>
      </c>
      <c r="H17" s="26" t="n">
        <v>0</v>
      </c>
    </row>
    <row r="18">
      <c r="A18" s="2" t="inlineStr">
        <is>
          <t>P/E (LTM)</t>
        </is>
      </c>
      <c r="B18" s="26" t="n">
        <v>27.77777777777778</v>
      </c>
      <c r="C18" s="26" t="n">
        <v>42.79269602577873</v>
      </c>
      <c r="D18" s="26" t="n">
        <v>54.16666666666667</v>
      </c>
      <c r="E18" s="26" t="n">
        <v>64.41286450710933</v>
      </c>
      <c r="F18" s="26" t="n">
        <v>84.18010752688173</v>
      </c>
      <c r="G18" s="26" t="n">
        <v>115</v>
      </c>
      <c r="H18" s="26" t="n">
        <v>35.63472392478405</v>
      </c>
    </row>
    <row r="19">
      <c r="A19" s="2" t="inlineStr">
        <is>
          <t>Forward P/E</t>
        </is>
      </c>
      <c r="B19" s="26" t="n">
        <v>0</v>
      </c>
      <c r="C19" s="26" t="n">
        <v>0</v>
      </c>
      <c r="D19" s="26" t="n">
        <v>0</v>
      </c>
      <c r="E19" s="26" t="n">
        <v>0</v>
      </c>
      <c r="F19" s="26" t="n">
        <v>0</v>
      </c>
      <c r="G19" s="26" t="n">
        <v>0</v>
      </c>
      <c r="H19" s="26" t="n">
        <v>0</v>
      </c>
    </row>
    <row r="20">
      <c r="A20" s="2" t="inlineStr">
        <is>
          <t>P/B</t>
        </is>
      </c>
      <c r="B20" s="26" t="n">
        <v>0.9090909090909091</v>
      </c>
      <c r="C20" s="26" t="n">
        <v>3.5</v>
      </c>
      <c r="D20" s="26" t="n">
        <v>8.181818181818182</v>
      </c>
      <c r="E20" s="26" t="n">
        <v>14.57761286332715</v>
      </c>
      <c r="F20" s="26" t="n">
        <v>12.97619047619048</v>
      </c>
      <c r="G20" s="26" t="n">
        <v>60</v>
      </c>
      <c r="H20" s="26" t="n">
        <v>20.60622671079433</v>
      </c>
    </row>
    <row r="22">
      <c r="A22" s="4" t="inlineStr">
        <is>
          <t>Implied valuation w/ p25-p75 bands</t>
        </is>
      </c>
      <c r="B22" s="27" t="n"/>
      <c r="C22" s="27" t="n"/>
      <c r="D22" s="27" t="n"/>
      <c r="E22" s="27" t="n"/>
      <c r="F22" s="27" t="n"/>
      <c r="G22" s="22" t="n"/>
    </row>
    <row r="23">
      <c r="A23" s="16" t="inlineStr">
        <is>
          <t>Multiple</t>
        </is>
      </c>
      <c r="B23" s="16" t="inlineStr">
        <is>
          <t>Multiple</t>
        </is>
      </c>
      <c r="C23" s="16" t="inlineStr">
        <is>
          <t>p25 mult</t>
        </is>
      </c>
      <c r="D23" s="16" t="inlineStr">
        <is>
          <t>Median mult</t>
        </is>
      </c>
      <c r="E23" s="16" t="inlineStr">
        <is>
          <t>p75 mult</t>
        </is>
      </c>
      <c r="F23" s="16" t="inlineStr">
        <is>
          <t>Low $/sh</t>
        </is>
      </c>
      <c r="G23" s="16" t="inlineStr">
        <is>
          <t>High $/sh</t>
        </is>
      </c>
      <c r="H23" s="16" t="inlineStr">
        <is>
          <t>Median $/sh</t>
        </is>
      </c>
    </row>
    <row r="24">
      <c r="A24" s="2" t="inlineStr">
        <is>
          <t>EV/Revenue (LTM)</t>
        </is>
      </c>
      <c r="B24" s="26" t="n">
        <v>3.11038961038961</v>
      </c>
      <c r="C24" s="26" t="n">
        <v>9.199999999999999</v>
      </c>
      <c r="D24" s="26" t="n">
        <v>13.33333333333333</v>
      </c>
      <c r="E24" s="23" t="n">
        <v>95.15074211502784</v>
      </c>
      <c r="F24" s="23" t="n">
        <v>419.1815476190476</v>
      </c>
      <c r="G24" s="23" t="n">
        <v>257.1661448670377</v>
      </c>
    </row>
    <row r="25">
      <c r="A25" s="2" t="inlineStr">
        <is>
          <t>EV/EBITDA (LTM)</t>
        </is>
      </c>
      <c r="B25" s="26" t="n">
        <v>15.07422680412371</v>
      </c>
      <c r="C25" s="26" t="n">
        <v>21.42857142857143</v>
      </c>
      <c r="D25" s="26" t="n">
        <v>33.90581840862514</v>
      </c>
      <c r="E25" s="23" t="n">
        <v>210.6972754050074</v>
      </c>
      <c r="F25" s="23" t="n">
        <v>478.2067597153804</v>
      </c>
      <c r="G25" s="23" t="n">
        <v>344.4520175601939</v>
      </c>
    </row>
    <row r="26">
      <c r="A26" s="2" t="inlineStr">
        <is>
          <t>Forward P/E</t>
        </is>
      </c>
    </row>
    <row r="27">
      <c r="A27" s="2" t="inlineStr">
        <is>
          <t>P/E (LTM)</t>
        </is>
      </c>
      <c r="B27" s="26" t="n">
        <v>42.79269602577873</v>
      </c>
      <c r="C27" s="26" t="n">
        <v>54.16666666666667</v>
      </c>
      <c r="D27" s="26" t="n">
        <v>84.18010752688173</v>
      </c>
      <c r="E27" s="23" t="n">
        <v>276.0128893662728</v>
      </c>
      <c r="F27" s="23" t="n">
        <v>542.9616935483872</v>
      </c>
      <c r="G27" s="23" t="n">
        <v>409.48729145733</v>
      </c>
    </row>
    <row r="28">
      <c r="A28" s="2" t="inlineStr">
        <is>
          <t>P/B</t>
        </is>
      </c>
      <c r="B28" s="26" t="n">
        <v>3.5</v>
      </c>
      <c r="C28" s="26" t="n">
        <v>8.181818181818182</v>
      </c>
      <c r="D28" s="26" t="n">
        <v>12.97619047619048</v>
      </c>
      <c r="E28" s="23" t="n">
        <v>135</v>
      </c>
      <c r="F28" s="23" t="n">
        <v>509.8171768707484</v>
      </c>
      <c r="G28" s="23" t="n">
        <v>322.4085884353742</v>
      </c>
    </row>
  </sheetData>
  <mergeCells count="3">
    <mergeCell ref="A13:H13"/>
    <mergeCell ref="A22:G22"/>
    <mergeCell ref="A1:M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7109375" customWidth="1" min="1" max="1"/>
    <col width="12.7109375" customWidth="1" min="2" max="26"/>
  </cols>
  <sheetData>
    <row r="1">
      <c r="A1" s="11" t="inlineStr">
        <is>
          <t>Sensitivity Tables</t>
        </is>
      </c>
      <c r="B1" s="27" t="n"/>
      <c r="C1" s="27" t="n"/>
      <c r="D1" s="27" t="n"/>
      <c r="E1" s="27" t="n"/>
      <c r="F1" s="27" t="n"/>
      <c r="G1" s="22" t="n"/>
    </row>
    <row r="3">
      <c r="A3" s="4" t="inlineStr">
        <is>
          <t>DCF — Implied Price (WACC × Terminal Growth)</t>
        </is>
      </c>
      <c r="B3" s="27" t="n"/>
      <c r="C3" s="27" t="n"/>
      <c r="D3" s="27" t="n"/>
      <c r="E3" s="27" t="n"/>
      <c r="F3" s="22" t="n"/>
    </row>
    <row r="4">
      <c r="A4" s="16" t="inlineStr">
        <is>
          <t>WACC \ Terminal g</t>
        </is>
      </c>
      <c r="B4" s="16" t="inlineStr">
        <is>
          <t>2.50%</t>
        </is>
      </c>
      <c r="C4" s="16" t="inlineStr">
        <is>
          <t>2.75%</t>
        </is>
      </c>
      <c r="D4" s="16" t="inlineStr">
        <is>
          <t>3.00%</t>
        </is>
      </c>
      <c r="E4" s="16" t="inlineStr">
        <is>
          <t>3.25%</t>
        </is>
      </c>
      <c r="F4" s="16" t="inlineStr">
        <is>
          <t>3.50%</t>
        </is>
      </c>
    </row>
    <row r="5">
      <c r="A5" s="2" t="inlineStr">
        <is>
          <t>9.36%</t>
        </is>
      </c>
      <c r="B5" s="23" t="n">
        <v>121.6564365112369</v>
      </c>
      <c r="C5" s="23" t="n">
        <v>122.860942163344</v>
      </c>
      <c r="D5" s="23" t="n">
        <v>124.160204231017</v>
      </c>
      <c r="E5" s="23" t="n">
        <v>125.5658620263321</v>
      </c>
      <c r="F5" s="23" t="n">
        <v>127.0915425166943</v>
      </c>
    </row>
    <row r="6">
      <c r="A6" s="2" t="inlineStr">
        <is>
          <t>9.86%</t>
        </is>
      </c>
      <c r="B6" s="23" t="n">
        <v>117.2721415661201</v>
      </c>
      <c r="C6" s="23" t="n">
        <v>118.2992479269826</v>
      </c>
      <c r="D6" s="23" t="n">
        <v>119.4012621294436</v>
      </c>
      <c r="E6" s="23" t="n">
        <v>120.586688954332</v>
      </c>
      <c r="F6" s="23" t="n">
        <v>121.8653712958263</v>
      </c>
    </row>
    <row r="7">
      <c r="A7" s="2" t="inlineStr">
        <is>
          <t>10.36%</t>
        </is>
      </c>
      <c r="B7" s="23" t="n">
        <v>113.2741569394187</v>
      </c>
      <c r="C7" s="23" t="n">
        <v>114.1584992182609</v>
      </c>
      <c r="D7" s="23" t="n">
        <v>115.1029534005564</v>
      </c>
      <c r="E7" s="23" t="n">
        <v>116.1138641522948</v>
      </c>
      <c r="F7" s="23" t="n">
        <v>117.1985015844891</v>
      </c>
    </row>
    <row r="8">
      <c r="A8" s="2" t="inlineStr">
        <is>
          <t>10.86%</t>
        </is>
      </c>
      <c r="B8" s="23" t="n">
        <v>109.599290256153</v>
      </c>
      <c r="C8" s="23" t="n">
        <v>110.3671826892031</v>
      </c>
      <c r="D8" s="23" t="n">
        <v>111.1839493574075</v>
      </c>
      <c r="E8" s="23" t="n">
        <v>112.0544096980859</v>
      </c>
      <c r="F8" s="23" t="n">
        <v>112.9840383372959</v>
      </c>
    </row>
    <row r="9">
      <c r="A9" s="2" t="inlineStr">
        <is>
          <t>11.36%</t>
        </is>
      </c>
      <c r="B9" s="23" t="n">
        <v>106.1983928427502</v>
      </c>
      <c r="C9" s="23" t="n">
        <v>106.8701693051394</v>
      </c>
      <c r="D9" s="23" t="n">
        <v>107.5821439808886</v>
      </c>
      <c r="E9" s="23" t="n">
        <v>108.3380362635211</v>
      </c>
      <c r="F9" s="23" t="n">
        <v>109.142039004836</v>
      </c>
    </row>
    <row r="12">
      <c r="A12" s="4" t="inlineStr">
        <is>
          <t>LBO — Sponsor IRR (Entry × Exit)</t>
        </is>
      </c>
      <c r="B12" s="27" t="n"/>
      <c r="C12" s="27" t="n"/>
      <c r="D12" s="27" t="n"/>
      <c r="E12" s="27" t="n"/>
      <c r="F12" s="22" t="n"/>
    </row>
    <row r="13">
      <c r="A13" s="16" t="inlineStr">
        <is>
          <t>Entry × Exit</t>
        </is>
      </c>
      <c r="B13" s="16" t="inlineStr">
        <is>
          <t>9.0x</t>
        </is>
      </c>
      <c r="C13" s="16" t="inlineStr">
        <is>
          <t>9.5x</t>
        </is>
      </c>
      <c r="D13" s="16" t="inlineStr">
        <is>
          <t>10.0x</t>
        </is>
      </c>
      <c r="E13" s="16" t="inlineStr">
        <is>
          <t>10.5x</t>
        </is>
      </c>
      <c r="F13" s="16" t="inlineStr">
        <is>
          <t>11.0x</t>
        </is>
      </c>
    </row>
    <row r="14">
      <c r="A14" s="2" t="inlineStr">
        <is>
          <t>10.0x</t>
        </is>
      </c>
      <c r="B14" s="3" t="n">
        <v>0.09044783702196944</v>
      </c>
      <c r="C14" s="3" t="n">
        <v>0.1070127393926344</v>
      </c>
      <c r="D14" s="3" t="n">
        <v>0.1226416857907836</v>
      </c>
      <c r="E14" s="3" t="n">
        <v>0.1374458634157695</v>
      </c>
      <c r="F14" s="3" t="n">
        <v>0.1515171775728777</v>
      </c>
    </row>
    <row r="15">
      <c r="A15" s="2" t="inlineStr">
        <is>
          <t>10.5x</t>
        </is>
      </c>
      <c r="B15" s="3" t="n">
        <v>0.07287612798507948</v>
      </c>
      <c r="C15" s="3" t="n">
        <v>0.08917409998567105</v>
      </c>
      <c r="D15" s="3" t="n">
        <v>0.1045511982079265</v>
      </c>
      <c r="E15" s="3" t="n">
        <v>0.1191168181569512</v>
      </c>
      <c r="F15" s="3" t="n">
        <v>0.1329613841563387</v>
      </c>
    </row>
    <row r="16">
      <c r="A16" s="2" t="inlineStr">
        <is>
          <t>11.0x</t>
        </is>
      </c>
      <c r="B16" s="3" t="n">
        <v>0.05687724931140902</v>
      </c>
      <c r="C16" s="3" t="n">
        <v>0.07293218367712118</v>
      </c>
      <c r="D16" s="3" t="n">
        <v>0.08807997646290178</v>
      </c>
      <c r="E16" s="3" t="n">
        <v>0.1024283918528047</v>
      </c>
      <c r="F16" s="3" t="n">
        <v>0.1160665057502801</v>
      </c>
    </row>
    <row r="17">
      <c r="A17" s="2" t="inlineStr">
        <is>
          <t>11.5x</t>
        </is>
      </c>
      <c r="B17" s="3" t="n">
        <v>0.04221093783635298</v>
      </c>
      <c r="C17" s="3" t="n">
        <v>0.05804307748463461</v>
      </c>
      <c r="D17" s="3" t="n">
        <v>0.07298066397890823</v>
      </c>
      <c r="E17" s="3" t="n">
        <v>0.08712996605700607</v>
      </c>
      <c r="F17" s="3" t="n">
        <v>0.1005788235138845</v>
      </c>
    </row>
    <row r="18">
      <c r="A18" s="2" t="inlineStr">
        <is>
          <t>12.0x</t>
        </is>
      </c>
      <c r="B18" s="3" t="n">
        <v>0.02868686328651171</v>
      </c>
      <c r="C18" s="3" t="n">
        <v>0.04431355984346352</v>
      </c>
      <c r="D18" s="3" t="n">
        <v>0.05905731126461589</v>
      </c>
      <c r="E18" s="3" t="n">
        <v>0.07302300730943834</v>
      </c>
      <c r="F18" s="3" t="n">
        <v>0.08629734793459487</v>
      </c>
    </row>
    <row r="21">
      <c r="A21" s="4" t="inlineStr">
        <is>
          <t>M&amp;A — Y1 Accretion (Premium × Cost-Synergy)</t>
        </is>
      </c>
      <c r="B21" s="27" t="n"/>
      <c r="C21" s="27" t="n"/>
      <c r="D21" s="27" t="n"/>
      <c r="E21" s="27" t="n"/>
      <c r="F21" s="22" t="n"/>
    </row>
    <row r="22">
      <c r="A22" s="16" t="inlineStr">
        <is>
          <t>Premium \ Cost Synergy %</t>
        </is>
      </c>
      <c r="B22" s="16" t="inlineStr">
        <is>
          <t>3.0%</t>
        </is>
      </c>
      <c r="C22" s="16" t="inlineStr">
        <is>
          <t>4.0%</t>
        </is>
      </c>
      <c r="D22" s="16" t="inlineStr">
        <is>
          <t>5.0%</t>
        </is>
      </c>
      <c r="E22" s="16" t="inlineStr">
        <is>
          <t>6.0%</t>
        </is>
      </c>
      <c r="F22" s="16" t="inlineStr">
        <is>
          <t>7.0%</t>
        </is>
      </c>
    </row>
    <row r="23">
      <c r="A23" s="2" t="inlineStr">
        <is>
          <t>20%</t>
        </is>
      </c>
      <c r="B23" s="3" t="n">
        <v>-0.0326339586071358</v>
      </c>
      <c r="C23" s="3" t="n">
        <v>-0.02382886575500842</v>
      </c>
      <c r="D23" s="3" t="n">
        <v>-0.01502377290288126</v>
      </c>
      <c r="E23" s="3" t="n">
        <v>-0.006218680050753878</v>
      </c>
      <c r="F23" s="3" t="n">
        <v>0.002586412801373505</v>
      </c>
    </row>
    <row r="24">
      <c r="A24" s="2" t="inlineStr">
        <is>
          <t>25%</t>
        </is>
      </c>
      <c r="B24" s="3" t="n">
        <v>-0.03788868072139984</v>
      </c>
      <c r="C24" s="3" t="n">
        <v>-0.02913068601666924</v>
      </c>
      <c r="D24" s="3" t="n">
        <v>-0.02037269131193875</v>
      </c>
      <c r="E24" s="3" t="n">
        <v>-0.01161469660720815</v>
      </c>
      <c r="F24" s="3" t="n">
        <v>-0.002856701902477776</v>
      </c>
    </row>
    <row r="25">
      <c r="A25" s="2" t="inlineStr">
        <is>
          <t>30%</t>
        </is>
      </c>
      <c r="B25" s="3" t="n">
        <v>-0.04308748726025879</v>
      </c>
      <c r="C25" s="3" t="n">
        <v>-0.03437608953084503</v>
      </c>
      <c r="D25" s="3" t="n">
        <v>-0.02566469180143127</v>
      </c>
      <c r="E25" s="3" t="n">
        <v>-0.01695329407201751</v>
      </c>
      <c r="F25" s="3" t="n">
        <v>-0.008241896342603749</v>
      </c>
    </row>
    <row r="26">
      <c r="A26" s="2" t="inlineStr">
        <is>
          <t>35%</t>
        </is>
      </c>
      <c r="B26" s="3" t="n">
        <v>-0.0482312659979952</v>
      </c>
      <c r="C26" s="3" t="n">
        <v>-0.03956597202895118</v>
      </c>
      <c r="D26" s="3" t="n">
        <v>-0.03090067805990737</v>
      </c>
      <c r="E26" s="3" t="n">
        <v>-0.02223538409086356</v>
      </c>
      <c r="F26" s="3" t="n">
        <v>-0.01357009012181953</v>
      </c>
    </row>
    <row r="27">
      <c r="A27" s="2" t="inlineStr">
        <is>
          <t>40%</t>
        </is>
      </c>
      <c r="B27" s="3" t="n">
        <v>-0.05332088601418361</v>
      </c>
      <c r="C27" s="3" t="n">
        <v>-0.04470121038013497</v>
      </c>
      <c r="D27" s="3" t="n">
        <v>-0.03608153474608644</v>
      </c>
      <c r="E27" s="3" t="n">
        <v>-0.02746185911203802</v>
      </c>
      <c r="F27" s="3" t="n">
        <v>-0.01884218347798949</v>
      </c>
    </row>
  </sheetData>
  <mergeCells count="4">
    <mergeCell ref="A3:F3"/>
    <mergeCell ref="A21:F21"/>
    <mergeCell ref="A1:G1"/>
    <mergeCell ref="A12:F1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2.7109375" customWidth="1" min="1" max="1"/>
    <col width="16.7109375" customWidth="1" min="2" max="5"/>
  </cols>
  <sheetData>
    <row r="1">
      <c r="A1" s="11" t="inlineStr">
        <is>
          <t>Football Field — Implied Equity Value Range</t>
        </is>
      </c>
      <c r="B1" s="27" t="n"/>
      <c r="C1" s="27" t="n"/>
      <c r="D1" s="27" t="n"/>
      <c r="E1" s="27" t="n"/>
      <c r="F1" s="22" t="n"/>
    </row>
    <row r="3">
      <c r="A3" s="16" t="inlineStr">
        <is>
          <t>Method</t>
        </is>
      </c>
      <c r="B3" s="16" t="inlineStr">
        <is>
          <t>Low</t>
        </is>
      </c>
      <c r="C3" s="16" t="inlineStr">
        <is>
          <t>Mid</t>
        </is>
      </c>
      <c r="D3" s="16" t="inlineStr">
        <is>
          <t>High</t>
        </is>
      </c>
      <c r="E3" s="16" t="inlineStr">
        <is>
          <t>vs Current</t>
        </is>
      </c>
      <c r="F3" s="16" t="inlineStr">
        <is>
          <t>Source</t>
        </is>
      </c>
    </row>
    <row r="5">
      <c r="A5" s="2" t="inlineStr">
        <is>
          <t>52-Week Trading Range</t>
        </is>
      </c>
      <c r="B5" s="23" t="n">
        <v>56.34361163940462</v>
      </c>
      <c r="C5" s="23" t="n">
        <v>92.11525133244834</v>
      </c>
      <c r="D5" s="23" t="n">
        <v>127.8868910254921</v>
      </c>
      <c r="E5" s="3" t="n">
        <v>-0.1506200891429383</v>
      </c>
      <c r="F5" s="10" t="inlineStr">
        <is>
          <t>Trading history (last 252 days)</t>
        </is>
      </c>
    </row>
    <row r="6">
      <c r="A6" s="2" t="inlineStr">
        <is>
          <t>DCF (WACC ±100bps)</t>
        </is>
      </c>
      <c r="B6" s="23" t="n">
        <v>125.4152364272577</v>
      </c>
      <c r="C6" s="23" t="n">
        <v>133.6748472446264</v>
      </c>
      <c r="D6" s="23" t="n">
        <v>143.5086549056367</v>
      </c>
      <c r="E6" s="3" t="n">
        <v>0.2325942576729034</v>
      </c>
      <c r="F6" s="10" t="inlineStr">
        <is>
          <t>WACC sensitivity: 9.4% → 11.4%</t>
        </is>
      </c>
    </row>
    <row r="7">
      <c r="A7" s="2" t="inlineStr">
        <is>
          <t>Comps EV/EBITDA (p25 / median / p75)</t>
        </is>
      </c>
      <c r="B7" s="23" t="n">
        <v>210.6972754050074</v>
      </c>
      <c r="C7" s="23" t="n">
        <v>344.4520175601939</v>
      </c>
      <c r="D7" s="23" t="n">
        <v>478.2067597153804</v>
      </c>
      <c r="E7" s="3" t="n">
        <v>2.176136630338348</v>
      </c>
      <c r="F7" s="10" t="inlineStr">
        <is>
          <t>Peer median × subject EBITDA, p25/p75 bands</t>
        </is>
      </c>
    </row>
    <row r="8">
      <c r="A8" s="2" t="inlineStr">
        <is>
          <t>Comps P/E (p25 / median / p75)</t>
        </is>
      </c>
      <c r="B8" s="23" t="n">
        <v>276.0128893662728</v>
      </c>
      <c r="C8" s="23" t="n">
        <v>409.48729145733</v>
      </c>
      <c r="D8" s="23" t="n">
        <v>542.9616935483872</v>
      </c>
      <c r="E8" s="3" t="n">
        <v>2.775816426531397</v>
      </c>
      <c r="F8" s="10" t="inlineStr">
        <is>
          <t>Peer median × subject EPS</t>
        </is>
      </c>
    </row>
    <row r="9">
      <c r="A9" s="2" t="inlineStr">
        <is>
          <t>LBO (sponsor IRR 25% → 15%)</t>
        </is>
      </c>
      <c r="B9" s="23" t="n">
        <v>146.5696945664155</v>
      </c>
      <c r="C9" s="23" t="n">
        <v>162.116005886703</v>
      </c>
      <c r="D9" s="23" t="n">
        <v>182.0836466150662</v>
      </c>
      <c r="E9" s="3" t="n">
        <v>0.4948456052254768</v>
      </c>
      <c r="F9" s="10" t="inlineStr">
        <is>
          <t>Implied take-private price at sponsor IRR brackets</t>
        </is>
      </c>
    </row>
    <row r="11">
      <c r="A11" s="19" t="inlineStr">
        <is>
          <t>Current price</t>
        </is>
      </c>
      <c r="B11" s="23">
        <f>ib_px</f>
        <v/>
      </c>
    </row>
  </sheetData>
  <mergeCells count="1">
    <mergeCell ref="A1:F1"/>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8" customWidth="1" min="1" max="1"/>
    <col width="18" customWidth="1" min="2" max="2"/>
    <col width="14" customWidth="1" min="3" max="3"/>
    <col width="14" customWidth="1" min="4" max="4"/>
    <col width="14" customWidth="1" min="5" max="5"/>
    <col width="14" customWidth="1" min="6" max="6"/>
    <col width="14" customWidth="1" min="7" max="7"/>
    <col width="14" customWidth="1" min="8" max="8"/>
  </cols>
  <sheetData>
    <row r="1">
      <c r="A1" s="35" t="inlineStr">
        <is>
          <t>Reverse-DCF — what does today's price require? (MU)</t>
        </is>
      </c>
    </row>
    <row r="3">
      <c r="A3" s="36" t="inlineStr">
        <is>
          <t>Headline implied assumptions</t>
        </is>
      </c>
    </row>
    <row r="4">
      <c r="A4" s="37" t="inlineStr">
        <is>
          <t>Current Enterprise Value</t>
        </is>
      </c>
      <c r="B4" s="38" t="n">
        <v>125350000000</v>
      </c>
    </row>
    <row r="5">
      <c r="A5" s="37" t="inlineStr">
        <is>
          <t>Current Share Price</t>
        </is>
      </c>
      <c r="B5" s="39" t="n">
        <v>108.45</v>
      </c>
    </row>
    <row r="7">
      <c r="A7" s="37" t="inlineStr">
        <is>
          <t>Implied perpetual growth rate</t>
        </is>
      </c>
      <c r="B7" s="40" t="n">
        <v>-0.05</v>
      </c>
    </row>
    <row r="8">
      <c r="A8" s="37" t="inlineStr">
        <is>
          <t>Preset growth assumption</t>
        </is>
      </c>
      <c r="B8" s="34" t="n">
        <v>0.03</v>
      </c>
    </row>
    <row r="9">
      <c r="A9" s="37" t="inlineStr">
        <is>
          <t>Spread vs preset (bps)</t>
        </is>
      </c>
      <c r="B9" s="41" t="n">
        <v>-800</v>
      </c>
    </row>
    <row r="11">
      <c r="A11" s="37" t="inlineStr">
        <is>
          <t>Implied EBITDA margin (g held at preset)</t>
        </is>
      </c>
      <c r="B11" s="42" t="n">
        <v>0.4239055109020322</v>
      </c>
    </row>
    <row r="13">
      <c r="A13" s="36" t="inlineStr">
        <is>
          <t>Interpretation</t>
        </is>
      </c>
    </row>
    <row r="14" ht="60" customHeight="1">
      <c r="A14" s="43" t="inlineStr">
        <is>
          <t>Market implies NEGATIVE long-term growth — i.e., the company shrinks in perpetuity. Either market is wrong or the cash-flow profile is structurally challenged.</t>
        </is>
      </c>
    </row>
    <row r="17">
      <c r="A17" s="36" t="inlineStr">
        <is>
          <t>Joint sensitivity grid: EV implied / Current EV</t>
        </is>
      </c>
    </row>
    <row r="18" ht="32" customHeight="1">
      <c r="A18" s="43" t="inlineStr">
        <is>
          <t>Each cell = model EV at (margin, growth) ÷ current EV. Cells near 1.0 = where the market sits. Far above = model says cheap; far below = model says expensive.</t>
        </is>
      </c>
    </row>
    <row r="20">
      <c r="A20" s="44" t="inlineStr">
        <is>
          <t>EBITDA Margin \ Terminal g</t>
        </is>
      </c>
      <c r="B20" s="45" t="inlineStr">
        <is>
          <t>-1.0%</t>
        </is>
      </c>
      <c r="C20" s="45" t="inlineStr">
        <is>
          <t>0.0%</t>
        </is>
      </c>
      <c r="D20" s="45" t="inlineStr">
        <is>
          <t>1.5%</t>
        </is>
      </c>
      <c r="E20" s="45" t="inlineStr">
        <is>
          <t>2.5%</t>
        </is>
      </c>
      <c r="F20" s="45" t="inlineStr">
        <is>
          <t>3.5%</t>
        </is>
      </c>
      <c r="G20" s="45" t="inlineStr">
        <is>
          <t>4.5%</t>
        </is>
      </c>
    </row>
    <row r="21">
      <c r="A21" s="37" t="inlineStr">
        <is>
          <t>20%</t>
        </is>
      </c>
      <c r="B21" s="46" t="n">
        <v>-0.113456487900994</v>
      </c>
      <c r="C21" s="46" t="n">
        <v>-0.1350958129882444</v>
      </c>
      <c r="D21" s="46" t="n">
        <v>-0.1767179998639723</v>
      </c>
      <c r="E21" s="46" t="n">
        <v>-0.2132965812553941</v>
      </c>
      <c r="F21" s="46" t="n">
        <v>-0.2605460036958199</v>
      </c>
      <c r="G21" s="46" t="n">
        <v>-0.3239330723451754</v>
      </c>
    </row>
    <row r="22">
      <c r="A22" s="37" t="inlineStr">
        <is>
          <t>30%</t>
        </is>
      </c>
      <c r="B22" s="46" t="n">
        <v>0.3580573343936139</v>
      </c>
      <c r="C22" s="46" t="n">
        <v>0.3506594948462157</v>
      </c>
      <c r="D22" s="46" t="n">
        <v>0.3364301111257464</v>
      </c>
      <c r="E22" s="46" t="n">
        <v>0.3239249856232592</v>
      </c>
      <c r="F22" s="46" t="n">
        <v>0.307771817975371</v>
      </c>
      <c r="G22" s="46" t="n">
        <v>0.2861016706229409</v>
      </c>
    </row>
    <row r="23">
      <c r="A23" s="37" t="inlineStr">
        <is>
          <t>35%</t>
        </is>
      </c>
      <c r="B23" s="46" t="n">
        <v>0.593814245540918</v>
      </c>
      <c r="C23" s="46" t="n">
        <v>0.5935371487634459</v>
      </c>
      <c r="D23" s="46" t="n">
        <v>0.593004166620606</v>
      </c>
      <c r="E23" s="46" t="n">
        <v>0.592535769062586</v>
      </c>
      <c r="F23" s="46" t="n">
        <v>0.5919307288109664</v>
      </c>
      <c r="G23" s="46" t="n">
        <v>0.5911190421069991</v>
      </c>
    </row>
    <row r="24">
      <c r="A24" s="37" t="inlineStr">
        <is>
          <t>40%</t>
        </is>
      </c>
      <c r="B24" s="47" t="n">
        <v>0.8295711566882222</v>
      </c>
      <c r="C24" s="47" t="n">
        <v>0.836414802680676</v>
      </c>
      <c r="D24" s="47" t="n">
        <v>0.8495782221154655</v>
      </c>
      <c r="E24" s="47" t="n">
        <v>0.8611465525019127</v>
      </c>
      <c r="F24" s="47" t="n">
        <v>0.8760896396465621</v>
      </c>
      <c r="G24" s="47" t="n">
        <v>0.8961364135910574</v>
      </c>
    </row>
    <row r="25">
      <c r="A25" s="37" t="inlineStr">
        <is>
          <t>45%</t>
        </is>
      </c>
      <c r="B25" s="47" t="n">
        <v>1.065328067835526</v>
      </c>
      <c r="C25" s="47" t="n">
        <v>1.079292456597906</v>
      </c>
      <c r="D25" s="47" t="n">
        <v>1.106152277610325</v>
      </c>
      <c r="E25" s="47" t="n">
        <v>1.12975733594124</v>
      </c>
      <c r="F25" s="47" t="n">
        <v>1.160248550482158</v>
      </c>
      <c r="G25" s="48" t="n">
        <v>1.201153785075116</v>
      </c>
    </row>
    <row r="26">
      <c r="A26" s="37" t="inlineStr">
        <is>
          <t>50%</t>
        </is>
      </c>
      <c r="B26" s="48" t="n">
        <v>1.30108497898283</v>
      </c>
      <c r="C26" s="48" t="n">
        <v>1.322170110515136</v>
      </c>
      <c r="D26" s="48" t="n">
        <v>1.362726333105184</v>
      </c>
      <c r="E26" s="48" t="n">
        <v>1.398368119380566</v>
      </c>
      <c r="F26" s="48" t="n">
        <v>1.444407461317753</v>
      </c>
      <c r="G26" s="48" t="n">
        <v>1.506171156559174</v>
      </c>
    </row>
  </sheetData>
  <mergeCells count="6">
    <mergeCell ref="A18:H18"/>
    <mergeCell ref="A13:H13"/>
    <mergeCell ref="A14:H14"/>
    <mergeCell ref="A1:H1"/>
    <mergeCell ref="A3:B3"/>
    <mergeCell ref="A17:H1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s>
  <sheetData>
    <row r="1">
      <c r="A1" s="35" t="inlineStr">
        <is>
          <t>Reverse-LBO — max entry multiple at target sponsor IRR (MU)</t>
        </is>
      </c>
    </row>
    <row r="3">
      <c r="A3" s="36" t="inlineStr">
        <is>
          <t>Take-private price ceiling by IRR target</t>
        </is>
      </c>
    </row>
    <row r="4" ht="48" customHeight="1">
      <c r="A4" s="43" t="inlineStr">
        <is>
          <t>Solves bisection for the highest entry multiple at which the sponsor still hits target IRR, given preset exit and leverage. Premium &gt; 0 means the deal still works at a premium to current market.</t>
        </is>
      </c>
    </row>
    <row r="6">
      <c r="A6" s="45" t="inlineStr">
        <is>
          <t>Target IRR</t>
        </is>
      </c>
      <c r="B6" s="45" t="inlineStr">
        <is>
          <t>Max Entry Multiple</t>
        </is>
      </c>
      <c r="C6" s="45" t="inlineStr">
        <is>
          <t>Implied $/Share</t>
        </is>
      </c>
      <c r="D6" s="45" t="inlineStr">
        <is>
          <t>Premium to Market</t>
        </is>
      </c>
      <c r="E6" s="45" t="inlineStr">
        <is>
          <t>Read</t>
        </is>
      </c>
    </row>
    <row r="7">
      <c r="A7" s="37" t="inlineStr">
        <is>
          <t>15%</t>
        </is>
      </c>
      <c r="B7" s="26" t="n">
        <v>9.329791047174947</v>
      </c>
      <c r="C7" s="39" t="n">
        <v>182.0836466151797</v>
      </c>
      <c r="D7" s="49" t="n">
        <v>0.678964007516641</v>
      </c>
      <c r="E7" s="50" t="inlineStr">
        <is>
          <t>PE could pay +68% premium</t>
        </is>
      </c>
    </row>
    <row r="8">
      <c r="A8" s="37" t="inlineStr">
        <is>
          <t>20%</t>
        </is>
      </c>
      <c r="B8" s="26" t="n">
        <v>8.3256256509341</v>
      </c>
      <c r="C8" s="39" t="n">
        <v>162.116005886688</v>
      </c>
      <c r="D8" s="49" t="n">
        <v>0.4948456052253387</v>
      </c>
      <c r="E8" s="50" t="inlineStr">
        <is>
          <t>PE could pay +49% premium</t>
        </is>
      </c>
    </row>
    <row r="9">
      <c r="A9" s="37" t="inlineStr">
        <is>
          <t>25%</t>
        </is>
      </c>
      <c r="B9" s="26" t="n">
        <v>7.543807303970453</v>
      </c>
      <c r="C9" s="39" t="n">
        <v>146.5696945663075</v>
      </c>
      <c r="D9" s="49" t="n">
        <v>0.3514955699982252</v>
      </c>
      <c r="E9" s="50" t="inlineStr">
        <is>
          <t>PE could pay +35% premium</t>
        </is>
      </c>
    </row>
    <row r="10">
      <c r="A10" s="37" t="inlineStr">
        <is>
          <t>30%</t>
        </is>
      </c>
      <c r="B10" s="26" t="n">
        <v>6.928964755875908</v>
      </c>
      <c r="C10" s="39" t="n">
        <v>134.3436657159789</v>
      </c>
      <c r="D10" s="49" t="n">
        <v>0.238761325181917</v>
      </c>
      <c r="E10" s="50" t="inlineStr">
        <is>
          <t>PE could pay +24% premium</t>
        </is>
      </c>
    </row>
    <row r="13">
      <c r="A13" s="36" t="inlineStr">
        <is>
          <t>How to use</t>
        </is>
      </c>
    </row>
    <row r="14" ht="70" customHeight="1">
      <c r="A14" s="43" t="inlineStr">
        <is>
          <t>Compare Implied $/Share at 20% IRR (PE base case) vs current market. If take-private &gt; current → public market is paying LESS than a sponsor would. If take-private &lt; current → public is paying MORE; sponsor wouldn't bid. Useful framework even outside actual buyout situations — tells you where 'patient capital' would step in.</t>
        </is>
      </c>
    </row>
  </sheetData>
  <mergeCells count="5">
    <mergeCell ref="A4:E4"/>
    <mergeCell ref="A1:E1"/>
    <mergeCell ref="A13:E13"/>
    <mergeCell ref="A14:E14"/>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7109375" customWidth="1" min="1" max="1"/>
    <col width="22.7109375" customWidth="1" min="2" max="2"/>
    <col width="90.7109375" customWidth="1" min="3" max="3"/>
  </cols>
  <sheetData>
    <row r="1">
      <c r="A1" s="11" t="inlineStr">
        <is>
          <t>Sanity Checks — auto-flagged issues</t>
        </is>
      </c>
      <c r="B1" s="27" t="n"/>
      <c r="C1" s="22" t="n"/>
    </row>
    <row r="3">
      <c r="A3" s="16" t="inlineStr">
        <is>
          <t>Level</t>
        </is>
      </c>
      <c r="B3" s="16" t="inlineStr">
        <is>
          <t>Area</t>
        </is>
      </c>
      <c r="C3" s="16" t="inlineStr">
        <is>
          <t>Message</t>
        </is>
      </c>
    </row>
    <row r="5">
      <c r="A5" s="9" t="inlineStr">
        <is>
          <t>WARN</t>
        </is>
      </c>
      <c r="B5" s="2" t="inlineStr">
        <is>
          <t>DCF</t>
        </is>
      </c>
      <c r="C5" s="10" t="inlineStr">
        <is>
          <t>Terminal value = 87% of EV (target &lt;80%). DCF is essentially a perpetuity — explicit forecast doing little work.</t>
        </is>
      </c>
    </row>
    <row r="6">
      <c r="A6" s="9" t="inlineStr">
        <is>
          <t>WARN</t>
        </is>
      </c>
      <c r="B6" s="2" t="inlineStr">
        <is>
          <t>LBO</t>
        </is>
      </c>
      <c r="C6" s="10" t="inlineStr">
        <is>
          <t>Sponsor IRR 8.8% &lt; typical 20%+ PE target. Either entry too rich, exit too low, or hold too short.</t>
        </is>
      </c>
    </row>
    <row r="7">
      <c r="A7" s="21" t="inlineStr">
        <is>
          <t>INFO</t>
        </is>
      </c>
      <c r="B7" s="2" t="inlineStr">
        <is>
          <t>Data</t>
        </is>
      </c>
      <c r="C7" s="10" t="inlineStr">
        <is>
          <t>20 fallback / imputation note(s) — see Notes tab.</t>
        </is>
      </c>
    </row>
  </sheetData>
  <mergeCells count="1">
    <mergeCell ref="A1:C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0.7109375" customWidth="1" min="1" max="1"/>
  </cols>
  <sheetData>
    <row r="1">
      <c r="A1" s="11" t="inlineStr">
        <is>
          <t>Audit Trail</t>
        </is>
      </c>
    </row>
    <row r="2">
      <c r="A2" s="10" t="inlineStr">
        <is>
          <t>Every fallback or imputation used by the model is logged below.</t>
        </is>
      </c>
    </row>
    <row r="4">
      <c r="A4" s="10" t="inlineStr">
        <is>
          <t>[02:59:25] ⚠ DEMO MODE: data sourced from synthetic test harness, NOT live yfinance.</t>
        </is>
      </c>
    </row>
    <row r="5">
      <c r="A5" s="10" t="inlineStr">
        <is>
          <t>[02:59:26] EBITDA margin set via peak_half of trailing 5y (values: [48.7, 44.3, -12.5, 34.6, 46.5]) → 46.5%.</t>
        </is>
      </c>
    </row>
    <row r="6">
      <c r="A6" s="10" t="inlineStr">
        <is>
          <t>[02:59:26] ⚠ Terminal value = 87% of EV (target &lt;80%). Consider longer explicit forecast or lower terminal growth.</t>
        </is>
      </c>
    </row>
    <row r="7">
      <c r="A7" s="10" t="inlineStr">
        <is>
          <t>[02:59:26] ⚠ Terminal value = 86% of EV (target &lt;80%). Consider longer explicit forecast or lower terminal growth.</t>
        </is>
      </c>
    </row>
    <row r="8">
      <c r="A8" s="10" t="inlineStr">
        <is>
          <t>[02:59:26] ⚠ Terminal value = 86% of EV (target &lt;80%). Consider longer explicit forecast or lower terminal growth.</t>
        </is>
      </c>
    </row>
    <row r="9">
      <c r="A9" s="10" t="inlineStr">
        <is>
          <t>[02:59:26] ⚠ Terminal value = 86% of EV (target &lt;80%). Consider longer explicit forecast or lower terminal growth.</t>
        </is>
      </c>
    </row>
    <row r="10">
      <c r="A10" s="10" t="inlineStr">
        <is>
          <t>[02:59:26] ⚠ Terminal value = 86% of EV (target &lt;80%). Consider longer explicit forecast or lower terminal growth.</t>
        </is>
      </c>
    </row>
    <row r="11">
      <c r="A11" s="10" t="inlineStr">
        <is>
          <t>[02:59:26] ⚠ Terminal value = 86% of EV (target &lt;80%). Consider longer explicit forecast or lower terminal growth.</t>
        </is>
      </c>
    </row>
    <row r="12">
      <c r="A12" s="10" t="inlineStr">
        <is>
          <t>[02:59:26] ⚠ Terminal value = 85% of EV (target &lt;80%). Consider longer explicit forecast or lower terminal growth.</t>
        </is>
      </c>
    </row>
    <row r="13">
      <c r="A13" s="10" t="inlineStr">
        <is>
          <t>[02:59:26] ⚠ Terminal value = 86% of EV (target &lt;80%). Consider longer explicit forecast or lower terminal growth.</t>
        </is>
      </c>
    </row>
    <row r="14">
      <c r="A14" s="10" t="inlineStr">
        <is>
          <t>[02:59:26] ⚠ Terminal value = 86% of EV (target &lt;80%). Consider longer explicit forecast or lower terminal growth.</t>
        </is>
      </c>
    </row>
    <row r="15">
      <c r="A15" s="10" t="inlineStr">
        <is>
          <t>[02:59:26] ⚠ Terminal value = 86% of EV (target &lt;80%). Consider longer explicit forecast or lower terminal growth.</t>
        </is>
      </c>
    </row>
    <row r="16">
      <c r="A16" s="10" t="inlineStr">
        <is>
          <t>[02:59:26] ⚠ Terminal value = 86% of EV (target &lt;80%). Consider longer explicit forecast or lower terminal growth.</t>
        </is>
      </c>
    </row>
    <row r="17">
      <c r="A17" s="10" t="inlineStr">
        <is>
          <t>[02:59:26] ⚠ Terminal value = 85% of EV (target &lt;80%). Consider longer explicit forecast or lower terminal growth.</t>
        </is>
      </c>
    </row>
    <row r="18">
      <c r="A18" s="10" t="inlineStr">
        <is>
          <t>[02:59:26] ⚠ Terminal value = 85% of EV (target &lt;80%). Consider longer explicit forecast or lower terminal growth.</t>
        </is>
      </c>
    </row>
    <row r="19">
      <c r="A19" s="10" t="inlineStr">
        <is>
          <t>[02:59:26] ⚠ Terminal value = 85% of EV (target &lt;80%). Consider longer explicit forecast or lower terminal growth.</t>
        </is>
      </c>
    </row>
    <row r="20">
      <c r="A20" s="10" t="inlineStr">
        <is>
          <t>[02:59:26] ⚠ Terminal value = 85% of EV (target &lt;80%). Consider longer explicit forecast or lower terminal growth.</t>
        </is>
      </c>
    </row>
    <row r="21">
      <c r="A21" s="10" t="inlineStr">
        <is>
          <t>[02:59:26] ⚠ Terminal value = 86% of EV (target &lt;80%). Consider longer explicit forecast or lower terminal growth.</t>
        </is>
      </c>
    </row>
    <row r="22">
      <c r="A22" s="10" t="inlineStr">
        <is>
          <t>[02:59:26] ⚠ Terminal value = 85% of EV (target &lt;80%). Consider longer explicit forecast or lower terminal growth.</t>
        </is>
      </c>
    </row>
    <row r="23">
      <c r="A23" s="10" t="inlineStr">
        <is>
          <t>[02:59:26] ⚠ Terminal value = 85% of EV (target &lt;80%). Consider longer explicit forecast or lower terminal growth.</t>
        </is>
      </c>
    </row>
    <row r="24">
      <c r="A24" s="10" t="inlineStr">
        <is>
          <t>[02:59:26] ⚠ Terminal value = 87% of EV (target &lt;80%). Consider longer explicit forecast or lower terminal growth.</t>
        </is>
      </c>
    </row>
    <row r="25">
      <c r="A25" s="10" t="inlineStr">
        <is>
          <t>[02:59:26] ⚠ Terminal value = 88% of EV (target &lt;80%). Consider longer explicit forecast or lower terminal growth.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2026-05-08T02:59:26Z</dcterms:created>
  <dcterms:modified xmlns:dcterms="http://purl.org/dc/terms/" xmlns:xsi="http://www.w3.org/2001/XMLSchema-instance" xsi:type="dcterms:W3CDTF">2026-05-08T02:59:28Z</dcterms:modified>
</cp:coreProperties>
</file>