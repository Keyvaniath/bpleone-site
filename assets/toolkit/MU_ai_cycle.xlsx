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Cover" sheetId="1" state="visible" r:id="rId1"/>
    <sheet xmlns:r="http://schemas.openxmlformats.org/officeDocument/2006/relationships" name="Drivers" sheetId="2" state="visible" r:id="rId2"/>
    <sheet xmlns:r="http://schemas.openxmlformats.org/officeDocument/2006/relationships" name="Historicals" sheetId="3" state="visible" r:id="rId3"/>
    <sheet xmlns:r="http://schemas.openxmlformats.org/officeDocument/2006/relationships" name="Cycle Diagnostic" sheetId="4" state="visible" r:id="rId4"/>
    <sheet xmlns:r="http://schemas.openxmlformats.org/officeDocument/2006/relationships" name="Forecast" sheetId="5" state="visible" r:id="rId5"/>
    <sheet xmlns:r="http://schemas.openxmlformats.org/officeDocument/2006/relationships" name="3-Statement" sheetId="6" state="visible" r:id="rId6"/>
    <sheet xmlns:r="http://schemas.openxmlformats.org/officeDocument/2006/relationships" name="DCF" sheetId="7" state="visible" r:id="rId7"/>
    <sheet xmlns:r="http://schemas.openxmlformats.org/officeDocument/2006/relationships" name="LBO" sheetId="8" state="visible" r:id="rId8"/>
    <sheet xmlns:r="http://schemas.openxmlformats.org/officeDocument/2006/relationships" name="Returns Attribution" sheetId="9" state="visible" r:id="rId9"/>
    <sheet xmlns:r="http://schemas.openxmlformats.org/officeDocument/2006/relationships" name="M&amp;A" sheetId="10" state="visible" r:id="rId10"/>
    <sheet xmlns:r="http://schemas.openxmlformats.org/officeDocument/2006/relationships" name="Comps" sheetId="11" state="visible" r:id="rId11"/>
    <sheet xmlns:r="http://schemas.openxmlformats.org/officeDocument/2006/relationships" name="Sensitivity" sheetId="12" state="visible" r:id="rId12"/>
    <sheet xmlns:r="http://schemas.openxmlformats.org/officeDocument/2006/relationships" name="Football" sheetId="13" state="visible" r:id="rId13"/>
    <sheet xmlns:r="http://schemas.openxmlformats.org/officeDocument/2006/relationships" name="Reverse-DCF" sheetId="14" state="visible" r:id="rId14"/>
    <sheet xmlns:r="http://schemas.openxmlformats.org/officeDocument/2006/relationships" name="Reverse-LBO" sheetId="15" state="visible" r:id="rId15"/>
    <sheet xmlns:r="http://schemas.openxmlformats.org/officeDocument/2006/relationships" name="Sanity Checks" sheetId="16" state="visible" r:id="rId16"/>
    <sheet xmlns:r="http://schemas.openxmlformats.org/officeDocument/2006/relationships" name="Notes" sheetId="17" state="visible" r:id="rId17"/>
  </sheets>
  <definedNames>
    <definedName name="ib_betaT">Drivers!$B$26</definedName>
    <definedName name="ib_cxpct">Drivers!$B$18</definedName>
    <definedName name="ib_dapct">Drivers!$B$17</definedName>
    <definedName name="ib_EBDA1">Forecast!$C$5</definedName>
    <definedName name="ib_EBDA2">Forecast!$D$5</definedName>
    <definedName name="ib_EBDA3">Forecast!$E$5</definedName>
    <definedName name="ib_EBDA4">Forecast!$F$5</definedName>
    <definedName name="ib_EBDA5">Forecast!$G$5</definedName>
    <definedName name="ib_ebmgn">Drivers!$B$16</definedName>
    <definedName name="ib_entrym">Drivers!$B$35</definedName>
    <definedName name="ib_erp">Drivers!$B$24</definedName>
    <definedName name="ib_exitm">Drivers!$B$32</definedName>
    <definedName name="ib_FCF1">Forecast!$C$13</definedName>
    <definedName name="ib_FCF2">Forecast!$D$13</definedName>
    <definedName name="ib_FCF3">Forecast!$E$13</definedName>
    <definedName name="ib_FCF4">Forecast!$F$13</definedName>
    <definedName name="ib_FCF5">Forecast!$G$13</definedName>
    <definedName name="ib_grw1">Drivers!$B$11</definedName>
    <definedName name="ib_grw2">Drivers!$B$12</definedName>
    <definedName name="ib_grw3">Drivers!$B$13</definedName>
    <definedName name="ib_grw4">Drivers!$B$14</definedName>
    <definedName name="ib_grw5">Drivers!$B$15</definedName>
    <definedName name="ib_hold">Drivers!$B$38</definedName>
    <definedName name="ib_kdLBO">Drivers!$B$37</definedName>
    <definedName name="ib_leverage">Drivers!$B$36</definedName>
    <definedName name="ib_netdebt">Drivers!$B$7</definedName>
    <definedName name="ib_nwcpct">Drivers!$B$19</definedName>
    <definedName name="ib_px">Drivers!$B$6</definedName>
    <definedName name="ib_rf">Drivers!$B$23</definedName>
    <definedName name="ib_shares">Drivers!$B$5</definedName>
    <definedName name="ib_spread">Drivers!$B$27</definedName>
    <definedName name="ib_sweep">Drivers!$B$39</definedName>
    <definedName name="ib_tax">Drivers!$B$20</definedName>
    <definedName name="ib_tg">Drivers!$B$31</definedName>
    <definedName name="ib_WACC">DCF!$B$13</definedName>
    <definedName name="ib_wd">Drivers!$B$28</definedName>
  </definedNames>
  <calcPr calcId="124519" fullCalcOnLoad="1"/>
</workbook>
</file>

<file path=xl/styles.xml><?xml version="1.0" encoding="utf-8"?>
<styleSheet xmlns="http://schemas.openxmlformats.org/spreadsheetml/2006/main">
  <numFmts count="8">
    <numFmt numFmtId="164" formatCode="0.0%"/>
    <numFmt numFmtId="165" formatCode="0.00&quot;x&quot;"/>
    <numFmt numFmtId="166" formatCode="_($* #,##0.0,,,_);_($* (#,##0.0,,,);_($* &quot;-&quot;??_);_(@_)"/>
    <numFmt numFmtId="167" formatCode="#,##0,,"/>
    <numFmt numFmtId="168" formatCode="_($* #,##0.0,,,_);[Red]_($* (#,##0.0,,,)"/>
    <numFmt numFmtId="169" formatCode="$#,##0.00"/>
    <numFmt numFmtId="170" formatCode="#,##0&quot; bps&quot;"/>
    <numFmt numFmtId="171" formatCode="0.00&quot;×&quot;"/>
  </numFmts>
  <fonts count="14">
    <font>
      <name val="Calibri"/>
      <family val="2"/>
      <color theme="1"/>
      <sz val="11"/>
      <scheme val="minor"/>
    </font>
    <font>
      <name val="Calibri"/>
      <family val="2"/>
      <b val="1"/>
      <color rgb="FF0B3D91"/>
      <sz val="16"/>
      <scheme val="minor"/>
    </font>
    <font>
      <name val="Calibri"/>
      <family val="2"/>
      <b val="1"/>
      <color theme="1"/>
      <sz val="11"/>
      <scheme val="minor"/>
    </font>
    <font>
      <name val="Calibri"/>
      <family val="2"/>
      <b val="1"/>
      <color rgb="FFFFFFFF"/>
      <sz val="12"/>
      <scheme val="minor"/>
    </font>
    <font>
      <name val="Calibri"/>
      <family val="2"/>
      <i val="1"/>
      <color rgb="FF7F2700"/>
      <sz val="11"/>
      <scheme val="minor"/>
    </font>
    <font>
      <name val="Calibri"/>
      <family val="2"/>
      <i val="1"/>
      <color rgb="FF666666"/>
      <sz val="11"/>
      <scheme val="minor"/>
    </font>
    <font>
      <name val="Calibri"/>
      <family val="2"/>
      <b val="1"/>
      <color rgb="FFFFFFFF"/>
      <sz val="14"/>
      <scheme val="minor"/>
    </font>
    <font>
      <name val="Calibri"/>
      <family val="2"/>
      <i val="1"/>
      <color rgb="FF0B3D91"/>
      <sz val="11"/>
      <scheme val="minor"/>
    </font>
    <font>
      <name val="Calibri"/>
      <family val="2"/>
      <b val="1"/>
      <color rgb="FF0B3D91"/>
      <sz val="11"/>
      <scheme val="minor"/>
    </font>
    <font>
      <b val="1"/>
      <color rgb="FFFFFFFF"/>
      <sz val="14"/>
    </font>
    <font>
      <b val="1"/>
      <color rgb="FFFFFFFF"/>
      <sz val="12"/>
    </font>
    <font>
      <b val="1"/>
    </font>
    <font>
      <i val="1"/>
      <color rgb="FF666666"/>
    </font>
    <font>
      <i val="1"/>
    </font>
  </fonts>
  <fills count="15">
    <fill>
      <patternFill/>
    </fill>
    <fill>
      <patternFill patternType="gray125"/>
    </fill>
    <fill>
      <patternFill patternType="solid">
        <fgColor rgb="FF1F4E79"/>
        <bgColor indexed="64"/>
      </patternFill>
    </fill>
    <fill>
      <patternFill patternType="solid">
        <fgColor rgb="FFE2EFDA"/>
        <bgColor indexed="64"/>
      </patternFill>
    </fill>
    <fill>
      <patternFill patternType="solid">
        <fgColor rgb="FFFCE4D6"/>
        <bgColor indexed="64"/>
      </patternFill>
    </fill>
    <fill>
      <patternFill patternType="solid">
        <fgColor rgb="FF0B3D91"/>
        <bgColor indexed="64"/>
      </patternFill>
    </fill>
    <fill>
      <patternFill patternType="solid">
        <fgColor rgb="FFFFF2CC"/>
        <bgColor indexed="64"/>
      </patternFill>
    </fill>
    <fill>
      <patternFill patternType="solid">
        <fgColor rgb="FFD9E1F2"/>
        <bgColor indexed="64"/>
      </patternFill>
    </fill>
    <fill>
      <patternFill patternType="solid">
        <fgColor rgb="FFDDEBF7"/>
        <bgColor indexed="64"/>
      </patternFill>
    </fill>
    <fill>
      <patternFill patternType="solid">
        <fgColor rgb="FF0B3D91"/>
      </patternFill>
    </fill>
    <fill>
      <patternFill patternType="solid">
        <fgColor rgb="FF1F4E79"/>
      </patternFill>
    </fill>
    <fill>
      <patternFill patternType="solid">
        <fgColor rgb="FFE2EFDA"/>
      </patternFill>
    </fill>
    <fill>
      <patternFill patternType="solid">
        <fgColor rgb="FFD9E1F2"/>
      </patternFill>
    </fill>
    <fill>
      <patternFill patternType="solid">
        <fgColor rgb="FFFCE4D6"/>
      </patternFill>
    </fill>
    <fill>
      <patternFill patternType="solid">
        <fgColor rgb="FFFFF2CC"/>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applyAlignment="1" pivotButton="0" quotePrefix="0" xfId="0">
      <alignment horizontal="left"/>
    </xf>
    <xf numFmtId="164" fontId="0" fillId="0" borderId="0" pivotButton="0" quotePrefix="0" xfId="0"/>
    <xf numFmtId="0" fontId="3" fillId="2" borderId="1" applyAlignment="1" pivotButton="0" quotePrefix="0" xfId="0">
      <alignment horizontal="left"/>
    </xf>
    <xf numFmtId="4" fontId="0" fillId="0" borderId="0" pivotButton="0" quotePrefix="0" xfId="0"/>
    <xf numFmtId="4" fontId="2" fillId="3" borderId="1" pivotButton="0" quotePrefix="0" xfId="0"/>
    <xf numFmtId="10" fontId="2" fillId="3" borderId="1" pivotButton="0" quotePrefix="0" xfId="0"/>
    <xf numFmtId="165" fontId="0" fillId="0" borderId="0" pivotButton="0" quotePrefix="0" xfId="0"/>
    <xf numFmtId="0" fontId="4" fillId="4" borderId="0" pivotButton="0" quotePrefix="0" xfId="0"/>
    <xf numFmtId="0" fontId="5" fillId="0" borderId="0" applyAlignment="1" pivotButton="0" quotePrefix="0" xfId="0">
      <alignment vertical="top" wrapText="1"/>
    </xf>
    <xf numFmtId="0" fontId="6" fillId="5" borderId="1" applyAlignment="1" pivotButton="0" quotePrefix="0" xfId="0">
      <alignment horizontal="left"/>
    </xf>
    <xf numFmtId="3" fontId="7" fillId="6" borderId="1" pivotButton="0" quotePrefix="0" xfId="0"/>
    <xf numFmtId="2" fontId="7" fillId="6" borderId="1" pivotButton="0" quotePrefix="0" xfId="0"/>
    <xf numFmtId="166" fontId="0" fillId="0" borderId="0" pivotButton="0" quotePrefix="0" xfId="0"/>
    <xf numFmtId="10" fontId="7" fillId="6" borderId="1" pivotButton="0" quotePrefix="0" xfId="0"/>
    <xf numFmtId="0" fontId="2" fillId="7" borderId="1" applyAlignment="1" pivotButton="0" quotePrefix="0" xfId="0">
      <alignment horizontal="center"/>
    </xf>
    <xf numFmtId="167" fontId="0" fillId="0" borderId="0" pivotButton="0" quotePrefix="0" xfId="0"/>
    <xf numFmtId="3" fontId="0" fillId="0" borderId="0" pivotButton="0" quotePrefix="0" xfId="0"/>
    <xf numFmtId="0" fontId="8" fillId="0" borderId="0" pivotButton="0" quotePrefix="0" xfId="0"/>
    <xf numFmtId="10" fontId="0" fillId="0" borderId="0" pivotButton="0" quotePrefix="0" xfId="0"/>
    <xf numFmtId="0" fontId="0" fillId="8" borderId="0" pivotButton="0" quotePrefix="0" xfId="0"/>
    <xf numFmtId="0" fontId="0" fillId="0" borderId="4" pivotButton="0" quotePrefix="0" xfId="0"/>
    <xf numFmtId="4" fontId="0" fillId="0" borderId="0" pivotButton="0" quotePrefix="0" xfId="0"/>
    <xf numFmtId="4" fontId="2" fillId="3" borderId="1" pivotButton="0" quotePrefix="0" xfId="0"/>
    <xf numFmtId="10" fontId="2" fillId="3" borderId="1" pivotButton="0" quotePrefix="0" xfId="0"/>
    <xf numFmtId="165" fontId="0" fillId="0" borderId="0" pivotButton="0" quotePrefix="0" xfId="0"/>
    <xf numFmtId="0" fontId="0" fillId="0" borderId="5" pivotButton="0" quotePrefix="0" xfId="0"/>
    <xf numFmtId="3" fontId="7" fillId="6" borderId="1" pivotButton="0" quotePrefix="0" xfId="0"/>
    <xf numFmtId="2" fontId="7" fillId="6" borderId="1" pivotButton="0" quotePrefix="0" xfId="0"/>
    <xf numFmtId="166" fontId="0" fillId="0" borderId="0" pivotButton="0" quotePrefix="0" xfId="0"/>
    <xf numFmtId="10" fontId="7" fillId="6" borderId="1" pivotButton="0" quotePrefix="0" xfId="0"/>
    <xf numFmtId="167" fontId="0" fillId="0" borderId="0" pivotButton="0" quotePrefix="0" xfId="0"/>
    <xf numFmtId="3" fontId="0" fillId="0" borderId="0" pivotButton="0" quotePrefix="0" xfId="0"/>
    <xf numFmtId="10" fontId="0" fillId="0" borderId="0" pivotButton="0" quotePrefix="0" xfId="0"/>
    <xf numFmtId="0" fontId="9" fillId="9" borderId="0" pivotButton="0" quotePrefix="0" xfId="0"/>
    <xf numFmtId="0" fontId="10" fillId="10" borderId="0" pivotButton="0" quotePrefix="0" xfId="0"/>
    <xf numFmtId="0" fontId="11" fillId="0" borderId="0" pivotButton="0" quotePrefix="0" xfId="0"/>
    <xf numFmtId="168" fontId="11" fillId="0" borderId="0" pivotButton="0" quotePrefix="0" xfId="0"/>
    <xf numFmtId="169" fontId="11" fillId="0" borderId="0" pivotButton="0" quotePrefix="0" xfId="0"/>
    <xf numFmtId="10" fontId="11" fillId="11" borderId="0" pivotButton="0" quotePrefix="0" xfId="0"/>
    <xf numFmtId="170" fontId="11" fillId="0" borderId="0" pivotButton="0" quotePrefix="0" xfId="0"/>
    <xf numFmtId="164" fontId="11" fillId="11" borderId="0" pivotButton="0" quotePrefix="0" xfId="0"/>
    <xf numFmtId="0" fontId="12" fillId="0" borderId="0" applyAlignment="1" pivotButton="0" quotePrefix="0" xfId="0">
      <alignment vertical="top" wrapText="1"/>
    </xf>
    <xf numFmtId="0" fontId="11" fillId="12" borderId="0" pivotButton="0" quotePrefix="0" xfId="0"/>
    <xf numFmtId="0" fontId="11" fillId="12" borderId="0" applyAlignment="1" pivotButton="0" quotePrefix="0" xfId="0">
      <alignment horizontal="center"/>
    </xf>
    <xf numFmtId="171" fontId="0" fillId="13" borderId="0" pivotButton="0" quotePrefix="0" xfId="0"/>
    <xf numFmtId="171" fontId="0" fillId="0" borderId="0" pivotButton="0" quotePrefix="0" xfId="0"/>
    <xf numFmtId="171" fontId="0" fillId="14" borderId="0" pivotButton="0" quotePrefix="0" xfId="0"/>
    <xf numFmtId="164" fontId="0" fillId="11" borderId="0" pivotButton="0" quotePrefix="0" xfId="0"/>
    <xf numFmtId="0" fontId="13"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Football Field — $/Share</a:t>
            </a:r>
          </a:p>
        </rich>
      </tx>
      <layout/>
    </title>
    <plotArea>
      <layout/>
      <barChart>
        <barDir val="bar"/>
        <grouping val="clustered"/>
        <ser>
          <idx val="0"/>
          <order val="0"/>
          <tx>
            <v>Range (Low → High)</v>
          </tx>
          <spPr>
            <a:solidFill xmlns:a="http://schemas.openxmlformats.org/drawingml/2006/main">
              <a:srgbClr val="0B3D91"/>
            </a:solidFill>
            <a:ln xmlns:a="http://schemas.openxmlformats.org/drawingml/2006/main">
              <a:prstDash val="solid"/>
            </a:ln>
          </spPr>
          <cat>
            <strRef>
              <f>Football!$A$5:$A$9</f>
              <strCache>
                <ptCount val="5"/>
                <pt idx="0">
                  <v>52-Week Trading Range</v>
                </pt>
                <pt idx="1">
                  <v>DCF (WACC ±100bps)</v>
                </pt>
                <pt idx="2">
                  <v>Comps EV/EBITDA (p25 / median / p75)</v>
                </pt>
                <pt idx="3">
                  <v>Comps P/E (p25 / median / p75)</v>
                </pt>
                <pt idx="4">
                  <v>LBO (sponsor IRR 25% → 15%)</v>
                </pt>
              </strCache>
            </strRef>
          </cat>
          <val>
            <numRef>
              <f>Football!$D$5:$D$9</f>
              <numCache>
                <formatCode>General</formatCode>
                <ptCount val="5"/>
                <pt idx="0">
                  <v>127.8868910254921</v>
                </pt>
                <pt idx="1">
                  <v>143.5086549056367</v>
                </pt>
                <pt idx="2">
                  <v>478.2067597153804</v>
                </pt>
                <pt idx="3">
                  <v>542.9616935483872</v>
                </pt>
                <pt idx="4">
                  <v>182.0836466150662</v>
                </pt>
              </numCache>
            </numRef>
          </val>
        </ser>
        <gapWidth val="150"/>
        <axId val="50010001"/>
        <axId val="50010002"/>
      </barChart>
      <catAx>
        <axId val="50010001"/>
        <scaling>
          <orientation val="minMax"/>
        </scaling>
        <axPos val="l"/>
        <majorTickMark val="none"/>
        <minorTickMark val="none"/>
        <tickLblPos val="nextTo"/>
        <crossAx val="50010002"/>
        <crosses val="autoZero"/>
        <auto val="1"/>
        <lblAlgn val="ctr"/>
        <lblOffset val="100"/>
      </catAx>
      <valAx>
        <axId val="50010002"/>
        <scaling>
          <orientation val="minMax"/>
        </scaling>
        <axPos val="b"/>
        <majorGridlines/>
        <numFmt formatCode="General" sourceLinked="1"/>
        <majorTickMark val="none"/>
        <minorTickMark val="none"/>
        <tickLblPos val="nextTo"/>
        <crossAx val="50010001"/>
        <crosses val="autoZero"/>
        <crossBetween val="between"/>
      </valAx>
    </plotArea>
    <legend>
      <legendPos val="r"/>
      <layout/>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6</col>
      <colOff>0</colOff>
      <row>2</row>
      <rowOff>0</rowOff>
    </from>
    <to>
      <col>17</col>
      <colOff>152400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33"/>
  <sheetViews>
    <sheetView tabSelected="1" workbookViewId="0">
      <selection activeCell="A1" sqref="A1"/>
    </sheetView>
  </sheetViews>
  <sheetFormatPr baseColWidth="8" defaultRowHeight="15"/>
  <cols>
    <col width="32.7109375" customWidth="1" min="1" max="1"/>
    <col width="60.7109375" customWidth="1" min="2" max="2"/>
  </cols>
  <sheetData>
    <row r="1">
      <c r="A1" s="1" t="inlineStr">
        <is>
          <t>Micron Technology, Inc. (MU) — IB Valuation Template</t>
        </is>
      </c>
    </row>
    <row r="3">
      <c r="A3" s="2" t="inlineStr">
        <is>
          <t>Sector / Industry</t>
        </is>
      </c>
      <c r="B3" t="inlineStr">
        <is>
          <t>Technology / Semiconductors</t>
        </is>
      </c>
    </row>
    <row r="4">
      <c r="A4" s="2" t="inlineStr">
        <is>
          <t>Reporting Currency</t>
        </is>
      </c>
      <c r="B4" t="inlineStr">
        <is>
          <t>USD</t>
        </is>
      </c>
    </row>
    <row r="5">
      <c r="A5" s="2" t="inlineStr">
        <is>
          <t>Fiscal Year End</t>
        </is>
      </c>
      <c r="B5" t="inlineStr">
        <is>
          <t>2025-08-31</t>
        </is>
      </c>
    </row>
    <row r="6">
      <c r="A6" s="2" t="inlineStr">
        <is>
          <t>As-of Date</t>
        </is>
      </c>
      <c r="B6" t="inlineStr">
        <is>
          <t>2026-05-06</t>
        </is>
      </c>
    </row>
    <row r="7">
      <c r="A7" s="2" t="inlineStr">
        <is>
          <t>Industry Preset</t>
        </is>
      </c>
      <c r="B7" t="inlineStr">
        <is>
          <t>semiconductors_ai_cycle</t>
        </is>
      </c>
    </row>
    <row r="8">
      <c r="A8" s="2" t="inlineStr">
        <is>
          <t>Mid-cycle method</t>
        </is>
      </c>
      <c r="B8" t="inlineStr">
        <is>
          <t>peak_half</t>
        </is>
      </c>
    </row>
    <row r="10">
      <c r="A10" s="2" t="inlineStr">
        <is>
          <t>Cycle phase</t>
        </is>
      </c>
      <c r="B10" t="inlineStr">
        <is>
          <t>Near peak</t>
        </is>
      </c>
    </row>
    <row r="11">
      <c r="A11" s="2" t="inlineStr">
        <is>
          <t>Position in margin range</t>
        </is>
      </c>
      <c r="B11" s="3" t="n">
        <v>0.9640387710165633</v>
      </c>
    </row>
    <row r="12">
      <c r="A12" s="2" t="inlineStr">
        <is>
          <t>Latest EBITDA margin</t>
        </is>
      </c>
      <c r="B12" s="3" t="n">
        <v>0.4647887323943662</v>
      </c>
    </row>
    <row r="13">
      <c r="A13" s="2" t="inlineStr">
        <is>
          <t>5y peak margin</t>
        </is>
      </c>
      <c r="B13" s="3" t="n">
        <v>0.4868074354809601</v>
      </c>
    </row>
    <row r="14">
      <c r="A14" s="2" t="inlineStr">
        <is>
          <t>5y trough margin</t>
        </is>
      </c>
      <c r="B14" s="3" t="n">
        <v>-0.1254826254826255</v>
      </c>
    </row>
    <row r="16">
      <c r="A16" s="4" t="inlineStr">
        <is>
          <t>Headline outputs (linked)</t>
        </is>
      </c>
      <c r="B16" s="22" t="n"/>
    </row>
    <row r="17">
      <c r="A17" s="2" t="inlineStr">
        <is>
          <t>Current Market Price</t>
        </is>
      </c>
      <c r="B17" s="23" t="n">
        <v>108.45</v>
      </c>
    </row>
    <row r="18">
      <c r="A18" s="2" t="inlineStr">
        <is>
          <t>DCF Implied Price</t>
        </is>
      </c>
      <c r="B18" s="24">
        <f>DCF!B40</f>
        <v/>
      </c>
    </row>
    <row r="19">
      <c r="A19" s="2" t="inlineStr">
        <is>
          <t>DCF Upside / (Downside)</t>
        </is>
      </c>
      <c r="B19" s="25">
        <f>B18/B17-1</f>
        <v/>
      </c>
    </row>
    <row r="20">
      <c r="A20" s="2" t="inlineStr">
        <is>
          <t>LBO Sponsor IRR</t>
        </is>
      </c>
      <c r="B20" s="25">
        <f>LBO!B40</f>
        <v/>
      </c>
    </row>
    <row r="21">
      <c r="A21" s="2" t="inlineStr">
        <is>
          <t>LBO Sponsor MOIC</t>
        </is>
      </c>
      <c r="B21" s="26">
        <f>LBO!B41</f>
        <v/>
      </c>
    </row>
    <row r="23">
      <c r="A23" s="2" t="inlineStr">
        <is>
          <t>Sanity check status</t>
        </is>
      </c>
      <c r="B23" s="9" t="inlineStr">
        <is>
          <t>0 errors, 2 warnings — see Sanity Checks tab</t>
        </is>
      </c>
    </row>
    <row r="25">
      <c r="A25" s="4" t="inlineStr">
        <is>
          <t>How to use this workbook</t>
        </is>
      </c>
      <c r="B25" s="22" t="n"/>
    </row>
    <row r="26">
      <c r="A26" s="10" t="inlineStr">
        <is>
          <t>1. Yellow cells (Drivers tab) are the editable inputs — every other tab references them.
2. Edit any yellow cell to see the model recalculate live.
3. Cycle Diagnostic tab shows where the company sits in its own margin range.
4. Sanity Checks tab auto-flags issues (negative FCF, leverage breach, etc.).
5. To value a different company, open the notebook, change the TICKER cell, and Run All.
6. Notes tab logs every fallback or imputation used.</t>
        </is>
      </c>
    </row>
    <row r="27"/>
    <row r="28"/>
    <row r="29"/>
    <row r="30"/>
    <row r="31"/>
    <row r="32"/>
    <row r="33"/>
  </sheetData>
  <mergeCells count="4">
    <mergeCell ref="A25:B25"/>
    <mergeCell ref="A16:B16"/>
    <mergeCell ref="A26:B33"/>
    <mergeCell ref="A1:B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9"/>
  <sheetViews>
    <sheetView workbookViewId="0">
      <selection activeCell="A1" sqref="A1"/>
    </sheetView>
  </sheetViews>
  <sheetFormatPr baseColWidth="8" defaultRowHeight="15"/>
  <cols>
    <col width="38.7109375" customWidth="1" min="1" max="1"/>
    <col width="18.7109375" customWidth="1" min="2" max="2"/>
    <col width="60.7109375" customWidth="1" min="3" max="3"/>
  </cols>
  <sheetData>
    <row r="1">
      <c r="A1" s="11" t="inlineStr">
        <is>
          <t>DRIVERS — every yellow cell is editable</t>
        </is>
      </c>
      <c r="B1" s="27" t="n"/>
      <c r="C1" s="22" t="n"/>
    </row>
    <row r="3">
      <c r="A3" s="4" t="inlineStr">
        <is>
          <t>Company snapshot</t>
        </is>
      </c>
      <c r="B3" s="27" t="n"/>
      <c r="C3" s="22" t="n"/>
    </row>
    <row r="4">
      <c r="A4" s="2" t="inlineStr">
        <is>
          <t>Ticker</t>
        </is>
      </c>
      <c r="B4" s="28" t="inlineStr">
        <is>
          <t>MU</t>
        </is>
      </c>
    </row>
    <row r="5">
      <c r="A5" s="2" t="inlineStr">
        <is>
          <t>Shares Outstanding</t>
        </is>
      </c>
      <c r="B5" s="28" t="n">
        <v>1120000000</v>
      </c>
    </row>
    <row r="6">
      <c r="A6" s="2" t="inlineStr">
        <is>
          <t>Current Share Price</t>
        </is>
      </c>
      <c r="B6" s="29" t="n">
        <v>108.45</v>
      </c>
    </row>
    <row r="7">
      <c r="A7" s="2" t="inlineStr">
        <is>
          <t>Net Debt (latest)</t>
        </is>
      </c>
      <c r="B7" s="30" t="n">
        <v>3850000000</v>
      </c>
    </row>
    <row r="8">
      <c r="A8" s="2" t="inlineStr">
        <is>
          <t>Beta (observed equity)</t>
        </is>
      </c>
      <c r="B8" s="29" t="n">
        <v>1.27</v>
      </c>
    </row>
    <row r="10">
      <c r="A10" s="4" t="inlineStr">
        <is>
          <t>Operating drivers (Forecast uses these)</t>
        </is>
      </c>
      <c r="B10" s="27" t="n"/>
      <c r="C10" s="22" t="n"/>
    </row>
    <row r="11">
      <c r="A11" s="2" t="inlineStr">
        <is>
          <t>Revenue Growth Y1</t>
        </is>
      </c>
      <c r="B11" s="31" t="n">
        <v>0.35</v>
      </c>
    </row>
    <row r="12">
      <c r="A12" s="2" t="inlineStr">
        <is>
          <t>Revenue Growth Y2</t>
        </is>
      </c>
      <c r="B12" s="31" t="n">
        <v>0.2</v>
      </c>
    </row>
    <row r="13">
      <c r="A13" s="2" t="inlineStr">
        <is>
          <t>Revenue Growth Y3</t>
        </is>
      </c>
      <c r="B13" s="31" t="n">
        <v>0.1</v>
      </c>
    </row>
    <row r="14">
      <c r="A14" s="2" t="inlineStr">
        <is>
          <t>Revenue Growth Y4</t>
        </is>
      </c>
      <c r="B14" s="31" t="n">
        <v>0.06</v>
      </c>
    </row>
    <row r="15">
      <c r="A15" s="2" t="inlineStr">
        <is>
          <t>Revenue Growth Y5</t>
        </is>
      </c>
      <c r="B15" s="31" t="n">
        <v>0.04</v>
      </c>
    </row>
    <row r="16">
      <c r="A16" s="2" t="inlineStr">
        <is>
          <t>EBITDA Margin (mid-cycle)</t>
        </is>
      </c>
      <c r="B16" s="31" t="n">
        <v>0.4647050624391409</v>
      </c>
      <c r="C16" s="10" t="inlineStr">
        <is>
          <t>5y mid-cycle (peak_half)</t>
        </is>
      </c>
    </row>
    <row r="17">
      <c r="A17" s="2" t="inlineStr">
        <is>
          <t>D&amp;A % Revenue</t>
        </is>
      </c>
      <c r="B17" s="31" t="n">
        <v>0.18</v>
      </c>
    </row>
    <row r="18">
      <c r="A18" s="2" t="inlineStr">
        <is>
          <t>Capex % Revenue</t>
        </is>
      </c>
      <c r="B18" s="31" t="n">
        <v>0.32</v>
      </c>
    </row>
    <row r="19">
      <c r="A19" s="2" t="inlineStr">
        <is>
          <t>NWC % Δ Revenue</t>
        </is>
      </c>
      <c r="B19" s="31" t="n">
        <v>0.16</v>
      </c>
    </row>
    <row r="20">
      <c r="A20" s="2" t="inlineStr">
        <is>
          <t>Effective Tax Rate</t>
        </is>
      </c>
      <c r="B20" s="31" t="n">
        <v>0.15</v>
      </c>
    </row>
    <row r="22">
      <c r="A22" s="4" t="inlineStr">
        <is>
          <t>WACC inputs</t>
        </is>
      </c>
      <c r="B22" s="27" t="n"/>
      <c r="C22" s="22" t="n"/>
    </row>
    <row r="23">
      <c r="A23" s="2" t="inlineStr">
        <is>
          <t>Risk-free rate</t>
        </is>
      </c>
      <c r="B23" s="31" t="n">
        <v>0.04</v>
      </c>
    </row>
    <row r="24">
      <c r="A24" s="2" t="inlineStr">
        <is>
          <t>Equity risk premium</t>
        </is>
      </c>
      <c r="B24" s="31" t="n">
        <v>0.055</v>
      </c>
    </row>
    <row r="25">
      <c r="A25" s="2" t="inlineStr">
        <is>
          <t>Asset beta (delevered)</t>
        </is>
      </c>
      <c r="B25" s="23" t="n">
        <v>1.157815753437506</v>
      </c>
    </row>
    <row r="26">
      <c r="A26" s="2" t="inlineStr">
        <is>
          <t>Re-levered β @ target</t>
        </is>
      </c>
      <c r="B26" s="23" t="n">
        <v>1.373847229383772</v>
      </c>
    </row>
    <row r="27">
      <c r="A27" s="2" t="inlineStr">
        <is>
          <t>Credit spread (bps)</t>
        </is>
      </c>
      <c r="B27" s="28" t="n">
        <v>175</v>
      </c>
    </row>
    <row r="28">
      <c r="A28" s="2" t="inlineStr">
        <is>
          <t>Target Debt / EV</t>
        </is>
      </c>
      <c r="B28" s="31" t="n">
        <v>0.18</v>
      </c>
    </row>
    <row r="30">
      <c r="A30" s="4" t="inlineStr">
        <is>
          <t>Terminal value</t>
        </is>
      </c>
      <c r="B30" s="27" t="n"/>
      <c r="C30" s="22" t="n"/>
    </row>
    <row r="31">
      <c r="A31" s="2" t="inlineStr">
        <is>
          <t>Terminal Growth (Gordon)</t>
        </is>
      </c>
      <c r="B31" s="31" t="n">
        <v>0.03</v>
      </c>
    </row>
    <row r="32">
      <c r="A32" s="2" t="inlineStr">
        <is>
          <t>Exit EBITDA Multiple</t>
        </is>
      </c>
      <c r="B32" s="29" t="n">
        <v>10</v>
      </c>
    </row>
    <row r="34">
      <c r="A34" s="4" t="inlineStr">
        <is>
          <t>LBO assumptions</t>
        </is>
      </c>
      <c r="B34" s="27" t="n"/>
      <c r="C34" s="22" t="n"/>
    </row>
    <row r="35">
      <c r="A35" s="2" t="inlineStr">
        <is>
          <t>Entry EBITDA Multiple</t>
        </is>
      </c>
      <c r="B35" s="29" t="n">
        <v>11</v>
      </c>
    </row>
    <row r="36">
      <c r="A36" s="2" t="inlineStr">
        <is>
          <t>Debt / EBITDA at close</t>
        </is>
      </c>
      <c r="B36" s="29" t="n">
        <v>4</v>
      </c>
    </row>
    <row r="37">
      <c r="A37" s="2" t="inlineStr">
        <is>
          <t>Cost of LBO debt</t>
        </is>
      </c>
      <c r="B37" s="31" t="n">
        <v>0.08500000000000001</v>
      </c>
    </row>
    <row r="38">
      <c r="A38" s="2" t="inlineStr">
        <is>
          <t>Hold period (yrs)</t>
        </is>
      </c>
      <c r="B38" s="28" t="n">
        <v>5</v>
      </c>
    </row>
    <row r="39">
      <c r="A39" s="2" t="inlineStr">
        <is>
          <t>Cash sweep %</t>
        </is>
      </c>
      <c r="B39" s="31" t="n">
        <v>0.75</v>
      </c>
    </row>
  </sheetData>
  <mergeCells count="6">
    <mergeCell ref="A10:C10"/>
    <mergeCell ref="A1:C1"/>
    <mergeCell ref="A22:C22"/>
    <mergeCell ref="A3:C3"/>
    <mergeCell ref="A30:C30"/>
    <mergeCell ref="A34:C3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32.7109375" customWidth="1" min="1" max="1"/>
    <col width="16.7109375" customWidth="1" min="2" max="8"/>
  </cols>
  <sheetData>
    <row r="1">
      <c r="A1" s="11" t="inlineStr">
        <is>
          <t>Historical Financials (sourced: yfinance)</t>
        </is>
      </c>
      <c r="B1" s="27" t="n"/>
      <c r="C1" s="27" t="n"/>
      <c r="D1" s="27" t="n"/>
      <c r="E1" s="27" t="n"/>
      <c r="F1" s="27" t="n"/>
      <c r="G1" s="27" t="n"/>
      <c r="H1" s="22" t="n"/>
    </row>
    <row r="2">
      <c r="A2" s="16" t="inlineStr">
        <is>
          <t>Line Item</t>
        </is>
      </c>
      <c r="B2" s="16" t="inlineStr">
        <is>
          <t>2021-08-31</t>
        </is>
      </c>
      <c r="C2" s="16" t="inlineStr">
        <is>
          <t>2022-08-31</t>
        </is>
      </c>
      <c r="D2" s="16" t="inlineStr">
        <is>
          <t>2023-08-31</t>
        </is>
      </c>
      <c r="E2" s="16" t="inlineStr">
        <is>
          <t>2024-08-31</t>
        </is>
      </c>
      <c r="F2" s="16" t="inlineStr">
        <is>
          <t>2025-08-31</t>
        </is>
      </c>
    </row>
    <row r="3">
      <c r="A3" s="2" t="inlineStr">
        <is>
          <t>Revenue</t>
        </is>
      </c>
      <c r="B3" s="32" t="n">
        <v>27705000000</v>
      </c>
      <c r="C3" s="32" t="n">
        <v>30758000000</v>
      </c>
      <c r="D3" s="32" t="n">
        <v>15540000000</v>
      </c>
      <c r="E3" s="32" t="n">
        <v>25111000000</v>
      </c>
      <c r="F3" s="32" t="n">
        <v>35500000000</v>
      </c>
    </row>
    <row r="4">
      <c r="A4" s="2" t="inlineStr">
        <is>
          <t>YoY Growth %</t>
        </is>
      </c>
      <c r="C4" s="3" t="n">
        <v>0.1101967153943331</v>
      </c>
      <c r="D4" s="3" t="n">
        <v>-0.4947655894401457</v>
      </c>
      <c r="E4" s="3" t="n">
        <v>0.6158944658944658</v>
      </c>
      <c r="F4" s="3" t="n">
        <v>0.4137230695711043</v>
      </c>
    </row>
    <row r="5">
      <c r="A5" s="2" t="inlineStr">
        <is>
          <t>Gross Profit</t>
        </is>
      </c>
      <c r="B5" s="32" t="n">
        <v>8533000000</v>
      </c>
      <c r="C5" s="32" t="n">
        <v>11740000000</v>
      </c>
      <c r="D5" s="32" t="n">
        <v>-1416000000</v>
      </c>
      <c r="E5" s="32" t="n">
        <v>5611000000</v>
      </c>
      <c r="F5" s="32" t="n">
        <v>13500000000</v>
      </c>
    </row>
    <row r="6">
      <c r="A6" s="2" t="inlineStr">
        <is>
          <t>Gross Margin %</t>
        </is>
      </c>
      <c r="B6" s="3" t="n">
        <v>0.3079949467605125</v>
      </c>
      <c r="C6" s="3" t="n">
        <v>0.3816893166005592</v>
      </c>
      <c r="D6" s="3" t="n">
        <v>-0.09111969111969112</v>
      </c>
      <c r="E6" s="3" t="n">
        <v>0.2234478913623511</v>
      </c>
      <c r="F6" s="3" t="n">
        <v>0.3802816901408451</v>
      </c>
    </row>
    <row r="7">
      <c r="A7" s="2" t="inlineStr">
        <is>
          <t>EBITDA</t>
        </is>
      </c>
      <c r="B7" s="32" t="n">
        <v>13487000000</v>
      </c>
      <c r="C7" s="32" t="n">
        <v>13611000000</v>
      </c>
      <c r="D7" s="32" t="n">
        <v>-1950000000</v>
      </c>
      <c r="E7" s="32" t="n">
        <v>8700000000</v>
      </c>
      <c r="F7" s="32" t="n">
        <v>16500000000</v>
      </c>
    </row>
    <row r="8">
      <c r="A8" s="2" t="inlineStr">
        <is>
          <t>EBITDA Margin %</t>
        </is>
      </c>
      <c r="B8" s="3" t="n">
        <v>0.4868074354809601</v>
      </c>
      <c r="C8" s="3" t="n">
        <v>0.4425190194420964</v>
      </c>
      <c r="D8" s="3" t="n">
        <v>-0.1254826254826255</v>
      </c>
      <c r="E8" s="3" t="n">
        <v>0.3464617100075664</v>
      </c>
      <c r="F8" s="3" t="n">
        <v>0.4647887323943662</v>
      </c>
    </row>
    <row r="9">
      <c r="A9" s="2" t="inlineStr">
        <is>
          <t>EBIT</t>
        </is>
      </c>
      <c r="B9" s="32" t="n">
        <v>6811000000</v>
      </c>
      <c r="C9" s="32" t="n">
        <v>8911000000</v>
      </c>
      <c r="D9" s="32" t="n">
        <v>-5745000000</v>
      </c>
      <c r="E9" s="32" t="n">
        <v>811000000</v>
      </c>
      <c r="F9" s="32" t="n">
        <v>8300000000</v>
      </c>
    </row>
    <row r="10">
      <c r="A10" s="2" t="inlineStr">
        <is>
          <t>EBIT Margin %</t>
        </is>
      </c>
      <c r="B10" s="3" t="n">
        <v>0.2458401010647898</v>
      </c>
      <c r="C10" s="3" t="n">
        <v>0.2897132453345471</v>
      </c>
      <c r="D10" s="3" t="n">
        <v>-0.3696911196911196</v>
      </c>
      <c r="E10" s="3" t="n">
        <v>0.03229660308231452</v>
      </c>
      <c r="F10" s="3" t="n">
        <v>0.2338028169014084</v>
      </c>
    </row>
    <row r="11">
      <c r="A11" s="2" t="inlineStr">
        <is>
          <t>D&amp;A</t>
        </is>
      </c>
      <c r="B11" s="32" t="n">
        <v>6676000000</v>
      </c>
      <c r="C11" s="32" t="n">
        <v>4700000000</v>
      </c>
      <c r="D11" s="32" t="n">
        <v>3795000000</v>
      </c>
      <c r="E11" s="32" t="n">
        <v>7889000000</v>
      </c>
      <c r="F11" s="32" t="n">
        <v>8200000000</v>
      </c>
    </row>
    <row r="12">
      <c r="A12" s="2" t="inlineStr">
        <is>
          <t>D&amp;A % Revenue</t>
        </is>
      </c>
      <c r="B12" s="3" t="n">
        <v>0.2409673344161704</v>
      </c>
      <c r="C12" s="3" t="n">
        <v>0.1528057741075493</v>
      </c>
      <c r="D12" s="3" t="n">
        <v>0.2442084942084942</v>
      </c>
      <c r="E12" s="3" t="n">
        <v>0.3141651069252519</v>
      </c>
      <c r="F12" s="3" t="n">
        <v>0.2309859154929578</v>
      </c>
    </row>
    <row r="13">
      <c r="A13" s="2" t="inlineStr">
        <is>
          <t>Net Income</t>
        </is>
      </c>
      <c r="B13" s="32" t="n">
        <v>5861000000</v>
      </c>
      <c r="C13" s="32" t="n">
        <v>8687000000</v>
      </c>
      <c r="D13" s="32" t="n">
        <v>-5833000000</v>
      </c>
      <c r="E13" s="32" t="n">
        <v>778000000</v>
      </c>
      <c r="F13" s="32" t="n">
        <v>7220000000</v>
      </c>
    </row>
    <row r="14">
      <c r="A14" s="2" t="inlineStr">
        <is>
          <t>Net Margin %</t>
        </is>
      </c>
      <c r="B14" s="3" t="n">
        <v>0.2115502616856163</v>
      </c>
      <c r="C14" s="3" t="n">
        <v>0.282430587164315</v>
      </c>
      <c r="D14" s="3" t="n">
        <v>-0.3753539253539254</v>
      </c>
      <c r="E14" s="3" t="n">
        <v>0.03098243797538927</v>
      </c>
      <c r="F14" s="3" t="n">
        <v>0.2033802816901408</v>
      </c>
    </row>
    <row r="15">
      <c r="A15" s="2" t="inlineStr">
        <is>
          <t>Diluted EPS</t>
        </is>
      </c>
      <c r="B15" s="32" t="n">
        <v>5.14</v>
      </c>
      <c r="C15" s="32" t="n">
        <v>7.79</v>
      </c>
      <c r="D15" s="32" t="n">
        <v>-5.34</v>
      </c>
      <c r="E15" s="32" t="n">
        <v>0.7</v>
      </c>
      <c r="F15" s="32" t="n">
        <v>6.45</v>
      </c>
    </row>
    <row r="16">
      <c r="A16" s="2" t="inlineStr">
        <is>
          <t>Capex</t>
        </is>
      </c>
      <c r="B16" s="32" t="n">
        <v>9704000000</v>
      </c>
      <c r="C16" s="32" t="n">
        <v>12067000000</v>
      </c>
      <c r="D16" s="32" t="n">
        <v>7676000000</v>
      </c>
      <c r="E16" s="32" t="n">
        <v>8186000000</v>
      </c>
      <c r="F16" s="32" t="n">
        <v>10500000000</v>
      </c>
    </row>
    <row r="17">
      <c r="A17" s="2" t="inlineStr">
        <is>
          <t>Capex % Revenue</t>
        </is>
      </c>
      <c r="B17" s="3" t="n">
        <v>0.3502616856163148</v>
      </c>
      <c r="C17" s="3" t="n">
        <v>0.3923206970544248</v>
      </c>
      <c r="D17" s="3" t="n">
        <v>0.4939510939510939</v>
      </c>
      <c r="E17" s="3" t="n">
        <v>0.3259925928875791</v>
      </c>
      <c r="F17" s="3" t="n">
        <v>0.2957746478873239</v>
      </c>
    </row>
    <row r="18">
      <c r="A18" s="2" t="inlineStr">
        <is>
          <t>Operating Cash Flow</t>
        </is>
      </c>
      <c r="B18" s="32" t="n">
        <v>12468000000</v>
      </c>
      <c r="C18" s="32" t="n">
        <v>15181000000</v>
      </c>
      <c r="D18" s="32" t="n">
        <v>1559000000</v>
      </c>
      <c r="E18" s="32" t="n">
        <v>8507000000</v>
      </c>
      <c r="F18" s="32" t="n">
        <v>14200000000</v>
      </c>
    </row>
    <row r="19">
      <c r="A19" s="2" t="inlineStr">
        <is>
          <t>OCF % Revenue</t>
        </is>
      </c>
      <c r="B19" s="3" t="n">
        <v>0.4500270709258257</v>
      </c>
      <c r="C19" s="3" t="n">
        <v>0.4935626503673841</v>
      </c>
      <c r="D19" s="3" t="n">
        <v>0.1003217503217503</v>
      </c>
      <c r="E19" s="3" t="n">
        <v>0.3387758352913066</v>
      </c>
      <c r="F19" s="3" t="n">
        <v>0.4</v>
      </c>
    </row>
    <row r="20">
      <c r="A20" s="2" t="inlineStr">
        <is>
          <t>Free Cash Flow</t>
        </is>
      </c>
      <c r="B20" s="32" t="n">
        <v>2764000000</v>
      </c>
      <c r="C20" s="32" t="n">
        <v>3114000000</v>
      </c>
      <c r="D20" s="32" t="n">
        <v>-6117000000</v>
      </c>
      <c r="E20" s="32" t="n">
        <v>321000000</v>
      </c>
      <c r="F20" s="32" t="n">
        <v>3700000000</v>
      </c>
    </row>
    <row r="21">
      <c r="A21" s="2" t="inlineStr">
        <is>
          <t>FCF Margin %</t>
        </is>
      </c>
      <c r="B21" s="3" t="n">
        <v>0.0997653853095109</v>
      </c>
      <c r="C21" s="3" t="n">
        <v>0.1012419533129592</v>
      </c>
      <c r="D21" s="3" t="n">
        <v>-0.3936293436293437</v>
      </c>
      <c r="E21" s="3" t="n">
        <v>0.01278324240372745</v>
      </c>
      <c r="F21" s="3" t="n">
        <v>0.1042253521126761</v>
      </c>
    </row>
    <row r="22">
      <c r="A22" s="2" t="inlineStr">
        <is>
          <t>Total Debt</t>
        </is>
      </c>
      <c r="B22" s="32" t="n">
        <v>6775000000</v>
      </c>
      <c r="C22" s="32" t="n">
        <v>6908000000</v>
      </c>
      <c r="D22" s="32" t="n">
        <v>13325000000</v>
      </c>
      <c r="E22" s="32" t="n">
        <v>14000000000</v>
      </c>
      <c r="F22" s="32" t="n">
        <v>13850000000</v>
      </c>
    </row>
    <row r="23">
      <c r="A23" s="2" t="inlineStr">
        <is>
          <t>Cash</t>
        </is>
      </c>
      <c r="B23" s="32" t="n">
        <v>7829000000</v>
      </c>
      <c r="C23" s="32" t="n">
        <v>8262000000</v>
      </c>
      <c r="D23" s="32" t="n">
        <v>8577000000</v>
      </c>
      <c r="E23" s="32" t="n">
        <v>7800000000</v>
      </c>
      <c r="F23" s="32" t="n">
        <v>8400000000</v>
      </c>
    </row>
    <row r="24">
      <c r="A24" s="2" t="inlineStr">
        <is>
          <t>Net Debt</t>
        </is>
      </c>
      <c r="B24" s="32" t="n">
        <v>-1054000000</v>
      </c>
      <c r="C24" s="32" t="n">
        <v>-1354000000</v>
      </c>
      <c r="D24" s="32" t="n">
        <v>4748000000</v>
      </c>
      <c r="E24" s="32" t="n">
        <v>6200000000</v>
      </c>
      <c r="F24" s="32" t="n">
        <v>5450000000</v>
      </c>
    </row>
    <row r="25">
      <c r="A25" s="2" t="inlineStr">
        <is>
          <t>Net Debt / EBITDA</t>
        </is>
      </c>
      <c r="B25" s="32" t="n">
        <v>-0.07814932898346556</v>
      </c>
      <c r="C25" s="32" t="n">
        <v>-0.09947836308867827</v>
      </c>
      <c r="D25" s="32" t="n">
        <v>-2.434871794871795</v>
      </c>
      <c r="E25" s="32" t="n">
        <v>0.7126436781609196</v>
      </c>
      <c r="F25" s="32" t="n">
        <v>0.3303030303030303</v>
      </c>
    </row>
    <row r="26">
      <c r="A26" s="2" t="inlineStr">
        <is>
          <t>Total Equity</t>
        </is>
      </c>
      <c r="B26" s="32" t="n">
        <v>44137000000</v>
      </c>
      <c r="C26" s="32" t="n">
        <v>47180000000</v>
      </c>
      <c r="D26" s="32" t="n">
        <v>40544000000</v>
      </c>
      <c r="E26" s="32" t="n">
        <v>41200000000</v>
      </c>
      <c r="F26" s="32" t="n">
        <v>44300000000</v>
      </c>
    </row>
    <row r="27">
      <c r="A27" s="2" t="inlineStr">
        <is>
          <t>ROE %</t>
        </is>
      </c>
      <c r="C27" s="3" t="n">
        <v>0.1902603020248147</v>
      </c>
      <c r="D27" s="3" t="n">
        <v>-0.1329852719894214</v>
      </c>
      <c r="E27" s="3" t="n">
        <v>0.01903503621060873</v>
      </c>
      <c r="F27" s="3" t="n">
        <v>0.1688888888888889</v>
      </c>
    </row>
    <row r="28">
      <c r="A28" s="2" t="inlineStr">
        <is>
          <t>ROIC %</t>
        </is>
      </c>
      <c r="C28" s="3" t="n">
        <v>0.1802820052473043</v>
      </c>
      <c r="D28" s="3" t="n">
        <v>-0.1171699499046922</v>
      </c>
      <c r="E28" s="3" t="n">
        <v>0.01749881327406896</v>
      </c>
      <c r="F28" s="3" t="n">
        <v>0.1482788313076527</v>
      </c>
    </row>
    <row r="29">
      <c r="A29" s="2" t="inlineStr">
        <is>
          <t>Working Capital</t>
        </is>
      </c>
      <c r="B29" s="32" t="n">
        <v>5575000000</v>
      </c>
      <c r="C29" s="32" t="n">
        <v>7396000000</v>
      </c>
      <c r="D29" s="32" t="n">
        <v>7340000000</v>
      </c>
      <c r="E29" s="32" t="n">
        <v>7800000000</v>
      </c>
      <c r="F29" s="32" t="n">
        <v>7700000000</v>
      </c>
    </row>
    <row r="30">
      <c r="A30" s="2" t="inlineStr">
        <is>
          <t>NWC % Revenue</t>
        </is>
      </c>
      <c r="B30" s="3" t="n">
        <v>0.2012272153040967</v>
      </c>
      <c r="C30" s="3" t="n">
        <v>0.240457767084986</v>
      </c>
      <c r="D30" s="3" t="n">
        <v>0.4723294723294723</v>
      </c>
      <c r="E30" s="3" t="n">
        <v>0.3106208434550595</v>
      </c>
      <c r="F30" s="3" t="n">
        <v>0.2169014084507042</v>
      </c>
    </row>
  </sheetData>
  <mergeCells count="1">
    <mergeCell ref="A1:H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36.7109375" customWidth="1" min="1" max="1"/>
    <col width="18.7109375" customWidth="1" min="2" max="2"/>
    <col width="60.7109375" customWidth="1" min="3" max="3"/>
  </cols>
  <sheetData>
    <row r="1">
      <c r="A1" s="11" t="inlineStr">
        <is>
          <t>Cycle Position Diagnostic</t>
        </is>
      </c>
      <c r="B1" s="27" t="n"/>
      <c r="C1" s="22" t="n"/>
    </row>
    <row r="3">
      <c r="A3" s="2" t="inlineStr">
        <is>
          <t>Cycle phase</t>
        </is>
      </c>
      <c r="B3" t="inlineStr">
        <is>
          <t>Near peak</t>
        </is>
      </c>
    </row>
    <row r="4">
      <c r="A4" s="2" t="inlineStr">
        <is>
          <t>Position in margin range</t>
        </is>
      </c>
      <c r="B4" s="3" t="n">
        <v>0.9640387710165633</v>
      </c>
    </row>
    <row r="5">
      <c r="A5" s="2" t="inlineStr">
        <is>
          <t>Latest EBITDA margin</t>
        </is>
      </c>
      <c r="B5" s="3" t="n">
        <v>0.4647887323943662</v>
      </c>
    </row>
    <row r="6">
      <c r="A6" s="2" t="inlineStr">
        <is>
          <t>5y peak margin</t>
        </is>
      </c>
      <c r="B6" s="3" t="n">
        <v>0.4868074354809601</v>
      </c>
    </row>
    <row r="7">
      <c r="A7" s="2" t="inlineStr">
        <is>
          <t>5y trough margin</t>
        </is>
      </c>
      <c r="B7" s="3" t="n">
        <v>-0.1254826254826255</v>
      </c>
    </row>
    <row r="8">
      <c r="A8" s="2" t="inlineStr">
        <is>
          <t>5y median margin</t>
        </is>
      </c>
      <c r="B8" s="3" t="n">
        <v>0.4425190194420964</v>
      </c>
    </row>
    <row r="9">
      <c r="A9" s="2" t="inlineStr">
        <is>
          <t>5y mean margin</t>
        </is>
      </c>
      <c r="B9" s="3" t="n">
        <v>0.3230188543684727</v>
      </c>
    </row>
    <row r="10">
      <c r="A10" s="2" t="inlineStr">
        <is>
          <t>Number of obs</t>
        </is>
      </c>
      <c r="B10" s="33" t="n">
        <v>5</v>
      </c>
    </row>
    <row r="12">
      <c r="A12" s="4" t="inlineStr">
        <is>
          <t>Methodology used by this preset</t>
        </is>
      </c>
      <c r="B12" s="27" t="n"/>
      <c r="C12" s="22" t="n"/>
    </row>
    <row r="13">
      <c r="A13" s="2" t="inlineStr">
        <is>
          <t>Mid-cycle method</t>
        </is>
      </c>
      <c r="B13" t="inlineStr">
        <is>
          <t>peak_half</t>
        </is>
      </c>
    </row>
    <row r="14">
      <c r="A14" s="2" t="inlineStr">
        <is>
          <t>Window (years)</t>
        </is>
      </c>
      <c r="B14" s="33" t="n">
        <v>5</v>
      </c>
    </row>
    <row r="16">
      <c r="A16" s="4" t="inlineStr">
        <is>
          <t>How to read this</t>
        </is>
      </c>
      <c r="B16" s="27" t="n"/>
      <c r="C16" s="22" t="n"/>
    </row>
    <row r="17">
      <c r="A17" s="10" t="inlineStr">
        <is>
          <t>Position 0% = at trough margin, 100% = at peak margin. For cyclicals, valuing off the latest reported margin is dangerous when position is &gt;85% (near peak) or &lt;15% (near trough). The mid-cycle method normalizes — winsorize drops outliers; peak_half assumes structural shift; median is robust to one bad year.</t>
        </is>
      </c>
    </row>
    <row r="18"/>
    <row r="19"/>
    <row r="20"/>
    <row r="21"/>
    <row r="22"/>
  </sheetData>
  <mergeCells count="4">
    <mergeCell ref="A1:C1"/>
    <mergeCell ref="A17:C22"/>
    <mergeCell ref="A16:C16"/>
    <mergeCell ref="A12:C12"/>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2.7109375" customWidth="1" min="1" max="1"/>
    <col width="16.7109375" customWidth="1" min="2" max="7"/>
  </cols>
  <sheetData>
    <row r="1">
      <c r="A1" s="11" t="inlineStr">
        <is>
          <t>5-Year Operating Forecast (formulas)</t>
        </is>
      </c>
      <c r="B1" s="27" t="n"/>
      <c r="C1" s="27" t="n"/>
      <c r="D1" s="27" t="n"/>
      <c r="E1" s="27" t="n"/>
      <c r="F1" s="27" t="n"/>
      <c r="G1" s="22" t="n"/>
    </row>
    <row r="2">
      <c r="A2" s="16" t="inlineStr">
        <is>
          <t>Line Item</t>
        </is>
      </c>
      <c r="B2" s="16" t="inlineStr">
        <is>
          <t>FY2025 (Actual)</t>
        </is>
      </c>
      <c r="C2" s="16" t="inlineStr">
        <is>
          <t>FY2026E</t>
        </is>
      </c>
      <c r="D2" s="16" t="inlineStr">
        <is>
          <t>FY2027E</t>
        </is>
      </c>
      <c r="E2" s="16" t="inlineStr">
        <is>
          <t>FY2028E</t>
        </is>
      </c>
      <c r="F2" s="16" t="inlineStr">
        <is>
          <t>FY2029E</t>
        </is>
      </c>
      <c r="G2" s="16" t="inlineStr">
        <is>
          <t>FY2030E</t>
        </is>
      </c>
    </row>
    <row r="3">
      <c r="A3" s="2" t="inlineStr">
        <is>
          <t>Revenue</t>
        </is>
      </c>
      <c r="B3" s="32" t="n">
        <v>35500000000</v>
      </c>
      <c r="C3" s="32">
        <f>B3*(1+ib_grw1)</f>
        <v/>
      </c>
      <c r="D3" s="32">
        <f>C3*(1+ib_grw2)</f>
        <v/>
      </c>
      <c r="E3" s="32">
        <f>D3*(1+ib_grw3)</f>
        <v/>
      </c>
      <c r="F3" s="32">
        <f>E3*(1+ib_grw4)</f>
        <v/>
      </c>
      <c r="G3" s="32">
        <f>F3*(1+ib_grw5)</f>
        <v/>
      </c>
    </row>
    <row r="4">
      <c r="A4" s="2" t="inlineStr">
        <is>
          <t>YoY %</t>
        </is>
      </c>
      <c r="C4" s="3">
        <f>ib_grw1</f>
        <v/>
      </c>
      <c r="D4" s="3">
        <f>ib_grw2</f>
        <v/>
      </c>
      <c r="E4" s="3">
        <f>ib_grw3</f>
        <v/>
      </c>
      <c r="F4" s="3">
        <f>ib_grw4</f>
        <v/>
      </c>
      <c r="G4" s="3">
        <f>ib_grw5</f>
        <v/>
      </c>
    </row>
    <row r="5">
      <c r="A5" s="2" t="inlineStr">
        <is>
          <t>EBITDA</t>
        </is>
      </c>
      <c r="C5" s="32">
        <f>C3*ib_ebmgn</f>
        <v/>
      </c>
      <c r="D5" s="32">
        <f>D3*ib_ebmgn</f>
        <v/>
      </c>
      <c r="E5" s="32">
        <f>E3*ib_ebmgn</f>
        <v/>
      </c>
      <c r="F5" s="32">
        <f>F3*ib_ebmgn</f>
        <v/>
      </c>
      <c r="G5" s="32">
        <f>G3*ib_ebmgn</f>
        <v/>
      </c>
    </row>
    <row r="6">
      <c r="A6" s="2" t="inlineStr">
        <is>
          <t>EBITDA Margin %</t>
        </is>
      </c>
      <c r="C6" s="3">
        <f>ib_ebmgn</f>
        <v/>
      </c>
      <c r="D6" s="3">
        <f>ib_ebmgn</f>
        <v/>
      </c>
      <c r="E6" s="3">
        <f>ib_ebmgn</f>
        <v/>
      </c>
      <c r="F6" s="3">
        <f>ib_ebmgn</f>
        <v/>
      </c>
      <c r="G6" s="3">
        <f>ib_ebmgn</f>
        <v/>
      </c>
    </row>
    <row r="7">
      <c r="A7" s="2" t="inlineStr">
        <is>
          <t>D&amp;A</t>
        </is>
      </c>
      <c r="C7" s="32">
        <f>C3*ib_dapct</f>
        <v/>
      </c>
      <c r="D7" s="32">
        <f>D3*ib_dapct</f>
        <v/>
      </c>
      <c r="E7" s="32">
        <f>E3*ib_dapct</f>
        <v/>
      </c>
      <c r="F7" s="32">
        <f>F3*ib_dapct</f>
        <v/>
      </c>
      <c r="G7" s="32">
        <f>G3*ib_dapct</f>
        <v/>
      </c>
    </row>
    <row r="8">
      <c r="A8" s="2" t="inlineStr">
        <is>
          <t>EBIT</t>
        </is>
      </c>
      <c r="C8" s="32">
        <f>C5-C7</f>
        <v/>
      </c>
      <c r="D8" s="32">
        <f>D5-D7</f>
        <v/>
      </c>
      <c r="E8" s="32">
        <f>E5-E7</f>
        <v/>
      </c>
      <c r="F8" s="32">
        <f>F5-F7</f>
        <v/>
      </c>
      <c r="G8" s="32">
        <f>G5-G7</f>
        <v/>
      </c>
    </row>
    <row r="9">
      <c r="A9" s="2" t="inlineStr">
        <is>
          <t>Cash Taxes</t>
        </is>
      </c>
      <c r="C9" s="32">
        <f>C8*ib_tax</f>
        <v/>
      </c>
      <c r="D9" s="32">
        <f>D8*ib_tax</f>
        <v/>
      </c>
      <c r="E9" s="32">
        <f>E8*ib_tax</f>
        <v/>
      </c>
      <c r="F9" s="32">
        <f>F8*ib_tax</f>
        <v/>
      </c>
      <c r="G9" s="32">
        <f>G8*ib_tax</f>
        <v/>
      </c>
    </row>
    <row r="10">
      <c r="A10" s="2" t="inlineStr">
        <is>
          <t>NOPAT</t>
        </is>
      </c>
      <c r="C10" s="32">
        <f>C8-C9</f>
        <v/>
      </c>
      <c r="D10" s="32">
        <f>D8-D9</f>
        <v/>
      </c>
      <c r="E10" s="32">
        <f>E8-E9</f>
        <v/>
      </c>
      <c r="F10" s="32">
        <f>F8-F9</f>
        <v/>
      </c>
      <c r="G10" s="32">
        <f>G8-G9</f>
        <v/>
      </c>
    </row>
    <row r="11">
      <c r="A11" s="2" t="inlineStr">
        <is>
          <t>Capex</t>
        </is>
      </c>
      <c r="C11" s="32">
        <f>C3*ib_cxpct</f>
        <v/>
      </c>
      <c r="D11" s="32">
        <f>D3*ib_cxpct</f>
        <v/>
      </c>
      <c r="E11" s="32">
        <f>E3*ib_cxpct</f>
        <v/>
      </c>
      <c r="F11" s="32">
        <f>F3*ib_cxpct</f>
        <v/>
      </c>
      <c r="G11" s="32">
        <f>G3*ib_cxpct</f>
        <v/>
      </c>
    </row>
    <row r="12">
      <c r="A12" s="2" t="inlineStr">
        <is>
          <t>Δ NWC</t>
        </is>
      </c>
      <c r="C12" s="32">
        <f>(C3-B3)*ib_nwcpct</f>
        <v/>
      </c>
      <c r="D12" s="32">
        <f>(D3-C3)*ib_nwcpct</f>
        <v/>
      </c>
      <c r="E12" s="32">
        <f>(E3-D3)*ib_nwcpct</f>
        <v/>
      </c>
      <c r="F12" s="32">
        <f>(F3-E3)*ib_nwcpct</f>
        <v/>
      </c>
      <c r="G12" s="32">
        <f>(G3-F3)*ib_nwcpct</f>
        <v/>
      </c>
    </row>
    <row r="13">
      <c r="A13" s="19" t="inlineStr">
        <is>
          <t>Unlevered FCF</t>
        </is>
      </c>
      <c r="C13" s="32">
        <f>C10+C7-C11-C12</f>
        <v/>
      </c>
      <c r="D13" s="32">
        <f>D10+D7-D11-D12</f>
        <v/>
      </c>
      <c r="E13" s="32">
        <f>E10+E7-E11-E12</f>
        <v/>
      </c>
      <c r="F13" s="32">
        <f>F10+F7-F11-F12</f>
        <v/>
      </c>
      <c r="G13" s="32">
        <f>G10+G7-G11-G12</f>
        <v/>
      </c>
    </row>
  </sheetData>
  <mergeCells count="1">
    <mergeCell ref="A1:G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32.7109375" customWidth="1" min="1" max="1"/>
    <col width="16.7109375" customWidth="1" min="2" max="7"/>
  </cols>
  <sheetData>
    <row r="1">
      <c r="A1" s="11" t="inlineStr">
        <is>
          <t>Three-Statement Projection</t>
        </is>
      </c>
      <c r="B1" s="27" t="n"/>
      <c r="C1" s="27" t="n"/>
      <c r="D1" s="27" t="n"/>
      <c r="E1" s="27" t="n"/>
      <c r="F1" s="27" t="n"/>
      <c r="G1" s="22" t="n"/>
    </row>
    <row r="3">
      <c r="A3" s="4" t="inlineStr">
        <is>
          <t>Income Statement</t>
        </is>
      </c>
      <c r="B3" s="27" t="n"/>
      <c r="C3" s="27" t="n"/>
      <c r="D3" s="27" t="n"/>
      <c r="E3" s="27" t="n"/>
      <c r="F3" s="22" t="n"/>
    </row>
    <row r="4">
      <c r="A4" s="16" t="n"/>
      <c r="B4" s="16" t="inlineStr">
        <is>
          <t>FY2026E</t>
        </is>
      </c>
      <c r="C4" s="16" t="inlineStr">
        <is>
          <t>FY2027E</t>
        </is>
      </c>
      <c r="D4" s="16" t="inlineStr">
        <is>
          <t>FY2028E</t>
        </is>
      </c>
      <c r="E4" s="16" t="inlineStr">
        <is>
          <t>FY2029E</t>
        </is>
      </c>
      <c r="F4" s="16" t="inlineStr">
        <is>
          <t>FY2030E</t>
        </is>
      </c>
    </row>
    <row r="5">
      <c r="A5" s="2" t="inlineStr">
        <is>
          <t>Revenue</t>
        </is>
      </c>
      <c r="B5" s="32" t="n">
        <v>47925000000</v>
      </c>
      <c r="C5" s="32" t="n">
        <v>57510000000</v>
      </c>
      <c r="D5" s="32" t="n">
        <v>63261000000.00001</v>
      </c>
      <c r="E5" s="32" t="n">
        <v>67056660000.00002</v>
      </c>
      <c r="F5" s="32" t="n">
        <v>69738926400.00002</v>
      </c>
    </row>
    <row r="6">
      <c r="A6" s="2" t="inlineStr">
        <is>
          <t>Gross Profit</t>
        </is>
      </c>
      <c r="B6" s="32" t="n">
        <v>8188942998.876494</v>
      </c>
      <c r="C6" s="32" t="n">
        <v>9826731598.651793</v>
      </c>
      <c r="D6" s="32" t="n">
        <v>10809404758.51697</v>
      </c>
      <c r="E6" s="32" t="n">
        <v>11457969044.02799</v>
      </c>
      <c r="F6" s="32" t="n">
        <v>11916287805.78911</v>
      </c>
    </row>
    <row r="7">
      <c r="A7" s="2" t="inlineStr">
        <is>
          <t>EBITDA</t>
        </is>
      </c>
      <c r="B7" s="32" t="n">
        <v>22270990117.39583</v>
      </c>
      <c r="C7" s="32" t="n">
        <v>26725188140.87499</v>
      </c>
      <c r="D7" s="32" t="n">
        <v>29397706954.96249</v>
      </c>
      <c r="E7" s="32" t="n">
        <v>31161569372.26025</v>
      </c>
      <c r="F7" s="32" t="n">
        <v>32408032147.15066</v>
      </c>
    </row>
    <row r="8">
      <c r="A8" s="2" t="inlineStr">
        <is>
          <t>D&amp;A</t>
        </is>
      </c>
      <c r="B8" s="32" t="n">
        <v>8626500000</v>
      </c>
      <c r="C8" s="32" t="n">
        <v>10351800000</v>
      </c>
      <c r="D8" s="32" t="n">
        <v>11386980000</v>
      </c>
      <c r="E8" s="32" t="n">
        <v>12070198800</v>
      </c>
      <c r="F8" s="32" t="n">
        <v>12553006752</v>
      </c>
    </row>
    <row r="9">
      <c r="A9" s="2" t="inlineStr">
        <is>
          <t>EBIT</t>
        </is>
      </c>
      <c r="B9" s="32" t="n">
        <v>13644490117.39583</v>
      </c>
      <c r="C9" s="32" t="n">
        <v>16373388140.87499</v>
      </c>
      <c r="D9" s="32" t="n">
        <v>18010726954.96249</v>
      </c>
      <c r="E9" s="32" t="n">
        <v>19091370572.26025</v>
      </c>
      <c r="F9" s="32" t="n">
        <v>19855025395.15066</v>
      </c>
    </row>
    <row r="10">
      <c r="A10" s="2" t="inlineStr">
        <is>
          <t>Interest Expense</t>
        </is>
      </c>
      <c r="B10" s="32" t="n">
        <v>482500000</v>
      </c>
      <c r="C10" s="32" t="n">
        <v>482500000</v>
      </c>
      <c r="D10" s="32" t="n">
        <v>482500000</v>
      </c>
      <c r="E10" s="32" t="n">
        <v>482500000</v>
      </c>
      <c r="F10" s="32" t="n">
        <v>482500000</v>
      </c>
    </row>
    <row r="11">
      <c r="A11" s="2" t="inlineStr">
        <is>
          <t>Pretax Income</t>
        </is>
      </c>
      <c r="B11" s="32" t="n">
        <v>13161990117.39583</v>
      </c>
      <c r="C11" s="32" t="n">
        <v>15890888140.87499</v>
      </c>
      <c r="D11" s="32" t="n">
        <v>17528226954.96249</v>
      </c>
      <c r="E11" s="32" t="n">
        <v>18608870572.26025</v>
      </c>
      <c r="F11" s="32" t="n">
        <v>19372525395.15066</v>
      </c>
    </row>
    <row r="12">
      <c r="A12" s="2" t="inlineStr">
        <is>
          <t>Tax</t>
        </is>
      </c>
      <c r="B12" s="32" t="n">
        <v>1974298517.609374</v>
      </c>
      <c r="C12" s="32" t="n">
        <v>2383633221.131249</v>
      </c>
      <c r="D12" s="32" t="n">
        <v>2629234043.244374</v>
      </c>
      <c r="E12" s="32" t="n">
        <v>2791330585.839037</v>
      </c>
      <c r="F12" s="32" t="n">
        <v>2905878809.272599</v>
      </c>
    </row>
    <row r="13">
      <c r="A13" s="2" t="inlineStr">
        <is>
          <t>Net Income</t>
        </is>
      </c>
      <c r="B13" s="32" t="n">
        <v>11187691599.78645</v>
      </c>
      <c r="C13" s="32" t="n">
        <v>13507254919.74374</v>
      </c>
      <c r="D13" s="32" t="n">
        <v>14898992911.71812</v>
      </c>
      <c r="E13" s="32" t="n">
        <v>15817539986.42121</v>
      </c>
      <c r="F13" s="32" t="n">
        <v>16466646585.87806</v>
      </c>
    </row>
    <row r="14">
      <c r="A14" s="2" t="inlineStr">
        <is>
          <t>Diluted Shares</t>
        </is>
      </c>
      <c r="B14" s="32" t="n">
        <v>1120000000</v>
      </c>
      <c r="C14" s="32" t="n">
        <v>1120000000</v>
      </c>
      <c r="D14" s="32" t="n">
        <v>1120000000</v>
      </c>
      <c r="E14" s="32" t="n">
        <v>1120000000</v>
      </c>
      <c r="F14" s="32" t="n">
        <v>1120000000</v>
      </c>
    </row>
    <row r="15">
      <c r="A15" s="2" t="inlineStr">
        <is>
          <t>Diluted EPS</t>
        </is>
      </c>
      <c r="B15" s="32" t="n">
        <v>9.989010356952191</v>
      </c>
      <c r="C15" s="32" t="n">
        <v>12.06004903548549</v>
      </c>
      <c r="D15" s="32" t="n">
        <v>13.30267224260546</v>
      </c>
      <c r="E15" s="32" t="n">
        <v>14.12280355930465</v>
      </c>
      <c r="F15" s="32" t="n">
        <v>14.70236302310541</v>
      </c>
    </row>
    <row r="18">
      <c r="A18" s="4" t="inlineStr">
        <is>
          <t>Cash Flow Statement</t>
        </is>
      </c>
      <c r="B18" s="27" t="n"/>
      <c r="C18" s="27" t="n"/>
      <c r="D18" s="27" t="n"/>
      <c r="E18" s="27" t="n"/>
      <c r="F18" s="22" t="n"/>
    </row>
    <row r="19">
      <c r="A19" s="16" t="n"/>
      <c r="B19" s="16" t="inlineStr">
        <is>
          <t>FY2026E</t>
        </is>
      </c>
      <c r="C19" s="16" t="inlineStr">
        <is>
          <t>FY2027E</t>
        </is>
      </c>
      <c r="D19" s="16" t="inlineStr">
        <is>
          <t>FY2028E</t>
        </is>
      </c>
      <c r="E19" s="16" t="inlineStr">
        <is>
          <t>FY2029E</t>
        </is>
      </c>
      <c r="F19" s="16" t="inlineStr">
        <is>
          <t>FY2030E</t>
        </is>
      </c>
    </row>
    <row r="20">
      <c r="A20" s="2" t="inlineStr">
        <is>
          <t>Net Income</t>
        </is>
      </c>
      <c r="B20" s="32" t="n">
        <v>11187691599.78645</v>
      </c>
      <c r="C20" s="32" t="n">
        <v>13507254919.74374</v>
      </c>
      <c r="D20" s="32" t="n">
        <v>14898992911.71812</v>
      </c>
      <c r="E20" s="32" t="n">
        <v>15817539986.42121</v>
      </c>
      <c r="F20" s="32" t="n">
        <v>16466646585.87806</v>
      </c>
    </row>
    <row r="21">
      <c r="A21" s="2" t="inlineStr">
        <is>
          <t>+ D&amp;A</t>
        </is>
      </c>
      <c r="B21" s="32" t="n">
        <v>8626500000</v>
      </c>
      <c r="C21" s="32" t="n">
        <v>10351800000</v>
      </c>
      <c r="D21" s="32" t="n">
        <v>11386980000</v>
      </c>
      <c r="E21" s="32" t="n">
        <v>12070198800</v>
      </c>
      <c r="F21" s="32" t="n">
        <v>12553006752</v>
      </c>
    </row>
    <row r="22">
      <c r="A22" s="2" t="inlineStr">
        <is>
          <t>− Δ NWC</t>
        </is>
      </c>
      <c r="B22" s="32" t="n">
        <v>-1988000000</v>
      </c>
      <c r="C22" s="32" t="n">
        <v>-1533600000</v>
      </c>
      <c r="D22" s="32" t="n">
        <v>-920160000.0000012</v>
      </c>
      <c r="E22" s="32" t="n">
        <v>-607305600.0000012</v>
      </c>
      <c r="F22" s="32" t="n">
        <v>-429162624</v>
      </c>
    </row>
    <row r="23">
      <c r="A23" s="2" t="inlineStr">
        <is>
          <t>Operating Cash Flow</t>
        </is>
      </c>
      <c r="B23" s="32" t="n">
        <v>17826191599.78645</v>
      </c>
      <c r="C23" s="32" t="n">
        <v>22325454919.74374</v>
      </c>
      <c r="D23" s="32" t="n">
        <v>25365812911.71812</v>
      </c>
      <c r="E23" s="32" t="n">
        <v>27280433186.42121</v>
      </c>
      <c r="F23" s="32" t="n">
        <v>28590490713.87806</v>
      </c>
    </row>
    <row r="24">
      <c r="A24" s="2" t="inlineStr">
        <is>
          <t>− Capex</t>
        </is>
      </c>
      <c r="B24" s="32" t="n">
        <v>-15336000000</v>
      </c>
      <c r="C24" s="32" t="n">
        <v>-18403200000</v>
      </c>
      <c r="D24" s="32" t="n">
        <v>-20243520000</v>
      </c>
      <c r="E24" s="32" t="n">
        <v>-21458131200</v>
      </c>
      <c r="F24" s="32" t="n">
        <v>-22316456448</v>
      </c>
    </row>
    <row r="25">
      <c r="A25" s="2" t="inlineStr">
        <is>
          <t>Free Cash Flow</t>
        </is>
      </c>
      <c r="B25" s="32" t="n">
        <v>2490191599.786453</v>
      </c>
      <c r="C25" s="32" t="n">
        <v>3922254919.743744</v>
      </c>
      <c r="D25" s="32" t="n">
        <v>5122292911.718117</v>
      </c>
      <c r="E25" s="32" t="n">
        <v>5822301986.421207</v>
      </c>
      <c r="F25" s="32" t="n">
        <v>6274034265.878056</v>
      </c>
    </row>
    <row r="26">
      <c r="A26" s="2" t="inlineStr">
        <is>
          <t>− Mandatory Debt Amort</t>
        </is>
      </c>
      <c r="B26" s="32" t="n">
        <v>0</v>
      </c>
      <c r="C26" s="32" t="n">
        <v>0</v>
      </c>
      <c r="D26" s="32" t="n">
        <v>0</v>
      </c>
      <c r="E26" s="32" t="n">
        <v>0</v>
      </c>
      <c r="F26" s="32" t="n">
        <v>0</v>
      </c>
    </row>
    <row r="27">
      <c r="A27" s="2" t="inlineStr">
        <is>
          <t>− Dividends</t>
        </is>
      </c>
      <c r="B27" s="32" t="n">
        <v>0</v>
      </c>
      <c r="C27" s="32" t="n">
        <v>0</v>
      </c>
      <c r="D27" s="32" t="n">
        <v>0</v>
      </c>
      <c r="E27" s="32" t="n">
        <v>0</v>
      </c>
      <c r="F27" s="32" t="n">
        <v>0</v>
      </c>
    </row>
    <row r="28">
      <c r="A28" s="2">
        <f> Net Change in Cash</f>
        <v/>
      </c>
      <c r="B28" s="32" t="n">
        <v>2490191599.786453</v>
      </c>
      <c r="C28" s="32" t="n">
        <v>3922254919.743744</v>
      </c>
      <c r="D28" s="32" t="n">
        <v>5122292911.718117</v>
      </c>
      <c r="E28" s="32" t="n">
        <v>5822301986.421207</v>
      </c>
      <c r="F28" s="32" t="n">
        <v>6274034265.878056</v>
      </c>
    </row>
    <row r="29">
      <c r="A29" s="2" t="inlineStr">
        <is>
          <t>Beginning Cash</t>
        </is>
      </c>
      <c r="B29" s="32" t="n">
        <v>8400000000</v>
      </c>
      <c r="C29" s="32" t="n">
        <v>10890191599.78645</v>
      </c>
      <c r="D29" s="32" t="n">
        <v>14812446519.5302</v>
      </c>
      <c r="E29" s="32" t="n">
        <v>19934739431.24831</v>
      </c>
      <c r="F29" s="32" t="n">
        <v>25757041417.66952</v>
      </c>
    </row>
    <row r="30">
      <c r="A30" s="2" t="inlineStr">
        <is>
          <t>Ending Cash</t>
        </is>
      </c>
      <c r="B30" s="32" t="n">
        <v>10890191599.78645</v>
      </c>
      <c r="C30" s="32" t="n">
        <v>14812446519.5302</v>
      </c>
      <c r="D30" s="32" t="n">
        <v>19934739431.24831</v>
      </c>
      <c r="E30" s="32" t="n">
        <v>25757041417.66952</v>
      </c>
      <c r="F30" s="32" t="n">
        <v>32031075683.54758</v>
      </c>
    </row>
    <row r="33">
      <c r="A33" s="4" t="inlineStr">
        <is>
          <t>Balance Sheet</t>
        </is>
      </c>
      <c r="B33" s="27" t="n"/>
      <c r="C33" s="27" t="n"/>
      <c r="D33" s="27" t="n"/>
      <c r="E33" s="27" t="n"/>
      <c r="F33" s="22" t="n"/>
    </row>
    <row r="34">
      <c r="A34" s="16" t="n"/>
      <c r="B34" s="16" t="inlineStr">
        <is>
          <t>FY2026E</t>
        </is>
      </c>
      <c r="C34" s="16" t="inlineStr">
        <is>
          <t>FY2027E</t>
        </is>
      </c>
      <c r="D34" s="16" t="inlineStr">
        <is>
          <t>FY2028E</t>
        </is>
      </c>
      <c r="E34" s="16" t="inlineStr">
        <is>
          <t>FY2029E</t>
        </is>
      </c>
      <c r="F34" s="16" t="inlineStr">
        <is>
          <t>FY2030E</t>
        </is>
      </c>
    </row>
    <row r="35">
      <c r="A35" s="2" t="inlineStr">
        <is>
          <t>Cash &amp; Equivalents</t>
        </is>
      </c>
      <c r="B35" s="32" t="n">
        <v>10890191599.78645</v>
      </c>
      <c r="C35" s="32" t="n">
        <v>14812446519.5302</v>
      </c>
      <c r="D35" s="32" t="n">
        <v>19934739431.24831</v>
      </c>
      <c r="E35" s="32" t="n">
        <v>25757041417.66952</v>
      </c>
      <c r="F35" s="32" t="n">
        <v>32031075683.54758</v>
      </c>
    </row>
    <row r="36">
      <c r="A36" s="2" t="inlineStr">
        <is>
          <t>Receivables</t>
        </is>
      </c>
      <c r="B36" s="32" t="n">
        <v>7424999999.999999</v>
      </c>
      <c r="C36" s="32" t="n">
        <v>8910000000</v>
      </c>
      <c r="D36" s="32" t="n">
        <v>9801000000</v>
      </c>
      <c r="E36" s="32" t="n">
        <v>10389060000</v>
      </c>
      <c r="F36" s="32" t="n">
        <v>10804622400</v>
      </c>
    </row>
    <row r="37">
      <c r="A37" s="2" t="inlineStr">
        <is>
          <t>Inventory</t>
        </is>
      </c>
      <c r="B37" s="32" t="n">
        <v>10260000000</v>
      </c>
      <c r="C37" s="32" t="n">
        <v>12312000000</v>
      </c>
      <c r="D37" s="32" t="n">
        <v>13543200000</v>
      </c>
      <c r="E37" s="32" t="n">
        <v>14355792000</v>
      </c>
      <c r="F37" s="32" t="n">
        <v>14930023680</v>
      </c>
    </row>
    <row r="38">
      <c r="A38" s="2" t="inlineStr">
        <is>
          <t>Net PPE</t>
        </is>
      </c>
      <c r="B38" s="32" t="n">
        <v>52709500000</v>
      </c>
      <c r="C38" s="32" t="n">
        <v>60760900000</v>
      </c>
      <c r="D38" s="32" t="n">
        <v>69617440000</v>
      </c>
      <c r="E38" s="32" t="n">
        <v>79005372400</v>
      </c>
      <c r="F38" s="32" t="n">
        <v>88768822096</v>
      </c>
    </row>
    <row r="39">
      <c r="A39" s="2" t="inlineStr">
        <is>
          <t>Other Assets</t>
        </is>
      </c>
      <c r="B39" s="32" t="n">
        <v>5500000000</v>
      </c>
      <c r="C39" s="32" t="n">
        <v>5500000000</v>
      </c>
      <c r="D39" s="32" t="n">
        <v>5500000000</v>
      </c>
      <c r="E39" s="32" t="n">
        <v>5500000000</v>
      </c>
      <c r="F39" s="32" t="n">
        <v>5500000000</v>
      </c>
    </row>
    <row r="40">
      <c r="A40" s="2" t="inlineStr">
        <is>
          <t>Total Assets</t>
        </is>
      </c>
      <c r="B40" s="32" t="n">
        <v>86784691599.78645</v>
      </c>
      <c r="C40" s="32" t="n">
        <v>102295346519.5302</v>
      </c>
      <c r="D40" s="32" t="n">
        <v>118396379431.2483</v>
      </c>
      <c r="E40" s="32" t="n">
        <v>135007265817.6695</v>
      </c>
      <c r="F40" s="32" t="n">
        <v>152034543859.5476</v>
      </c>
    </row>
    <row r="41">
      <c r="A41" s="2" t="inlineStr">
        <is>
          <t>Payables</t>
        </is>
      </c>
      <c r="B41" s="32" t="n">
        <v>7290000000</v>
      </c>
      <c r="C41" s="32" t="n">
        <v>8748000000</v>
      </c>
      <c r="D41" s="32" t="n">
        <v>9622800000</v>
      </c>
      <c r="E41" s="32" t="n">
        <v>10200168000</v>
      </c>
      <c r="F41" s="32" t="n">
        <v>10608174720</v>
      </c>
    </row>
    <row r="42">
      <c r="A42" s="2" t="inlineStr">
        <is>
          <t>Total Debt</t>
        </is>
      </c>
      <c r="B42" s="32" t="n">
        <v>13850000000</v>
      </c>
      <c r="C42" s="32" t="n">
        <v>13850000000</v>
      </c>
      <c r="D42" s="32" t="n">
        <v>13850000000</v>
      </c>
      <c r="E42" s="32" t="n">
        <v>13850000000</v>
      </c>
      <c r="F42" s="32" t="n">
        <v>13850000000</v>
      </c>
    </row>
    <row r="43">
      <c r="A43" s="2" t="inlineStr">
        <is>
          <t>Other Liabilities</t>
        </is>
      </c>
      <c r="B43" s="32" t="n">
        <v>10157000000</v>
      </c>
      <c r="C43" s="32" t="n">
        <v>10702400000</v>
      </c>
      <c r="D43" s="32" t="n">
        <v>11029640000</v>
      </c>
      <c r="E43" s="32" t="n">
        <v>11245618400</v>
      </c>
      <c r="F43" s="32" t="n">
        <v>11398243136</v>
      </c>
    </row>
    <row r="44">
      <c r="A44" s="2" t="inlineStr">
        <is>
          <t>Total Liabilities</t>
        </is>
      </c>
      <c r="B44" s="32" t="n">
        <v>31297000000</v>
      </c>
      <c r="C44" s="32" t="n">
        <v>33300400000</v>
      </c>
      <c r="D44" s="32" t="n">
        <v>34502440000</v>
      </c>
      <c r="E44" s="32" t="n">
        <v>35295786400</v>
      </c>
      <c r="F44" s="32" t="n">
        <v>35856417856</v>
      </c>
    </row>
    <row r="45">
      <c r="A45" s="2" t="inlineStr">
        <is>
          <t>Retained Earnings (delta)</t>
        </is>
      </c>
      <c r="B45" s="32" t="n">
        <v>11187691599.78645</v>
      </c>
      <c r="C45" s="32" t="n">
        <v>24694946519.5302</v>
      </c>
      <c r="D45" s="32" t="n">
        <v>39593939431.24832</v>
      </c>
      <c r="E45" s="32" t="n">
        <v>55411479417.66953</v>
      </c>
      <c r="F45" s="32" t="n">
        <v>71878126003.54758</v>
      </c>
    </row>
    <row r="46">
      <c r="A46" s="2" t="inlineStr">
        <is>
          <t>Equity</t>
        </is>
      </c>
      <c r="B46" s="32" t="n">
        <v>55487691599.78645</v>
      </c>
      <c r="C46" s="32" t="n">
        <v>68994946519.5302</v>
      </c>
      <c r="D46" s="32" t="n">
        <v>83893939431.24832</v>
      </c>
      <c r="E46" s="32" t="n">
        <v>99711479417.66953</v>
      </c>
      <c r="F46" s="32" t="n">
        <v>116178126003.5476</v>
      </c>
    </row>
    <row r="47">
      <c r="A47" s="2" t="inlineStr">
        <is>
          <t>Total Liab + Equity</t>
        </is>
      </c>
      <c r="B47" s="32" t="n">
        <v>86784691599.78645</v>
      </c>
      <c r="C47" s="32" t="n">
        <v>102295346519.5302</v>
      </c>
      <c r="D47" s="32" t="n">
        <v>118396379431.2483</v>
      </c>
      <c r="E47" s="32" t="n">
        <v>135007265817.6695</v>
      </c>
      <c r="F47" s="32" t="n">
        <v>152034543859.5476</v>
      </c>
    </row>
    <row r="48">
      <c r="A48" s="2" t="inlineStr">
        <is>
          <t>BS Check (Assets − Liab − Eq)</t>
        </is>
      </c>
      <c r="B48" s="32" t="n">
        <v>0</v>
      </c>
      <c r="C48" s="32" t="n">
        <v>0</v>
      </c>
      <c r="D48" s="32" t="n">
        <v>0</v>
      </c>
      <c r="E48" s="32" t="n">
        <v>0</v>
      </c>
      <c r="F48" s="32" t="n">
        <v>0</v>
      </c>
    </row>
  </sheetData>
  <mergeCells count="4">
    <mergeCell ref="A3:F3"/>
    <mergeCell ref="A33:F33"/>
    <mergeCell ref="A1:G1"/>
    <mergeCell ref="A18:F18"/>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36.7109375" customWidth="1" min="1" max="1"/>
    <col width="16.7109375" customWidth="1" min="2" max="8"/>
  </cols>
  <sheetData>
    <row r="1">
      <c r="A1" s="11" t="inlineStr">
        <is>
          <t>DCF Valuation (formulas)</t>
        </is>
      </c>
      <c r="B1" s="27" t="n"/>
      <c r="C1" s="27" t="n"/>
      <c r="D1" s="27" t="n"/>
      <c r="E1" s="27" t="n"/>
      <c r="F1" s="27" t="n"/>
      <c r="G1" s="27" t="n"/>
      <c r="H1" s="22" t="n"/>
    </row>
    <row r="3">
      <c r="A3" s="4" t="inlineStr">
        <is>
          <t>WACC Build (with Hamada re-levering)</t>
        </is>
      </c>
      <c r="B3" s="22" t="n"/>
    </row>
    <row r="4">
      <c r="A4" s="2" t="inlineStr">
        <is>
          <t>Risk-free rate</t>
        </is>
      </c>
      <c r="B4" s="34">
        <f>ib_rf</f>
        <v/>
      </c>
    </row>
    <row r="5">
      <c r="A5" s="2" t="inlineStr">
        <is>
          <t>ERP</t>
        </is>
      </c>
      <c r="B5" s="34">
        <f>ib_erp</f>
        <v/>
      </c>
    </row>
    <row r="6">
      <c r="A6" s="2" t="inlineStr">
        <is>
          <t>Re-levered β</t>
        </is>
      </c>
      <c r="B6" s="23">
        <f>ib_betaT</f>
        <v/>
      </c>
    </row>
    <row r="7">
      <c r="A7" s="19" t="inlineStr">
        <is>
          <t>Cost of Equity</t>
        </is>
      </c>
      <c r="B7" s="34">
        <f>B4+B5*B6</f>
        <v/>
      </c>
    </row>
    <row r="8">
      <c r="A8" s="2" t="inlineStr">
        <is>
          <t>Pre-tax kd</t>
        </is>
      </c>
      <c r="B8" s="34">
        <f>B4+ib_spread/10000</f>
        <v/>
      </c>
    </row>
    <row r="9">
      <c r="A9" s="2" t="inlineStr">
        <is>
          <t>Tax</t>
        </is>
      </c>
      <c r="B9" s="34">
        <f>ib_tax</f>
        <v/>
      </c>
    </row>
    <row r="10">
      <c r="A10" s="2" t="inlineStr">
        <is>
          <t>After-tax kd</t>
        </is>
      </c>
      <c r="B10" s="34">
        <f>B8*(1-B9)</f>
        <v/>
      </c>
    </row>
    <row r="11">
      <c r="A11" s="2" t="inlineStr">
        <is>
          <t>Wd</t>
        </is>
      </c>
      <c r="B11" s="34">
        <f>ib_wd</f>
        <v/>
      </c>
    </row>
    <row r="12">
      <c r="A12" s="2" t="inlineStr">
        <is>
          <t>We</t>
        </is>
      </c>
      <c r="B12" s="34">
        <f>1-B11</f>
        <v/>
      </c>
    </row>
    <row r="13">
      <c r="A13" s="19" t="inlineStr">
        <is>
          <t>WACC</t>
        </is>
      </c>
      <c r="B13" s="25">
        <f>B7*B12+B10*B11</f>
        <v/>
      </c>
    </row>
    <row r="15">
      <c r="A15" s="16" t="inlineStr">
        <is>
          <t>Year</t>
        </is>
      </c>
      <c r="B15" s="16" t="n">
        <v>1</v>
      </c>
      <c r="C15" s="16" t="n">
        <v>2</v>
      </c>
      <c r="D15" s="16" t="n">
        <v>3</v>
      </c>
      <c r="E15" s="16" t="n">
        <v>4</v>
      </c>
      <c r="F15" s="16" t="n">
        <v>5</v>
      </c>
    </row>
    <row r="16">
      <c r="A16" s="2" t="inlineStr">
        <is>
          <t>FCF</t>
        </is>
      </c>
      <c r="B16" s="32">
        <f>Forecast!C13</f>
        <v/>
      </c>
      <c r="C16" s="32">
        <f>Forecast!D13</f>
        <v/>
      </c>
      <c r="D16" s="32">
        <f>Forecast!E13</f>
        <v/>
      </c>
      <c r="E16" s="32">
        <f>Forecast!F13</f>
        <v/>
      </c>
      <c r="F16" s="32">
        <f>Forecast!G13</f>
        <v/>
      </c>
    </row>
    <row r="17">
      <c r="A17" s="2" t="inlineStr">
        <is>
          <t>Discount Factor (mid-yr)</t>
        </is>
      </c>
      <c r="B17" s="23">
        <f>1/(1+ib_WACC)^(1-0.5)</f>
        <v/>
      </c>
      <c r="C17" s="23">
        <f>1/(1+ib_WACC)^(2-0.5)</f>
        <v/>
      </c>
      <c r="D17" s="23">
        <f>1/(1+ib_WACC)^(3-0.5)</f>
        <v/>
      </c>
      <c r="E17" s="23">
        <f>1/(1+ib_WACC)^(4-0.5)</f>
        <v/>
      </c>
      <c r="F17" s="23">
        <f>1/(1+ib_WACC)^(5-0.5)</f>
        <v/>
      </c>
    </row>
    <row r="18">
      <c r="A18" s="2" t="inlineStr">
        <is>
          <t>PV of FCF</t>
        </is>
      </c>
      <c r="B18" s="32">
        <f>B16*B17</f>
        <v/>
      </c>
      <c r="C18" s="32">
        <f>C16*C17</f>
        <v/>
      </c>
      <c r="D18" s="32">
        <f>D16*D17</f>
        <v/>
      </c>
      <c r="E18" s="32">
        <f>E16*E17</f>
        <v/>
      </c>
      <c r="F18" s="32">
        <f>F16*F17</f>
        <v/>
      </c>
    </row>
    <row r="20">
      <c r="A20" s="19" t="inlineStr">
        <is>
          <t>Sum PV explicit</t>
        </is>
      </c>
      <c r="B20" s="32">
        <f>SUM(B18:F18)</f>
        <v/>
      </c>
    </row>
    <row r="21">
      <c r="A21" s="2" t="inlineStr">
        <is>
          <t>Y5 FCF</t>
        </is>
      </c>
      <c r="B21" s="32">
        <f>F16</f>
        <v/>
      </c>
    </row>
    <row r="22">
      <c r="A22" s="2" t="inlineStr">
        <is>
          <t>TV — Gordon</t>
        </is>
      </c>
      <c r="B22" s="32">
        <f>B21*(1+ib_tg)/(ib_WACC-ib_tg)</f>
        <v/>
      </c>
    </row>
    <row r="23">
      <c r="A23" s="2" t="inlineStr">
        <is>
          <t>TV — Exit Mult</t>
        </is>
      </c>
      <c r="B23" s="32">
        <f>ib_EBDA5*ib_exitm</f>
        <v/>
      </c>
    </row>
    <row r="24">
      <c r="A24" s="19" t="inlineStr">
        <is>
          <t>TV — Blended</t>
        </is>
      </c>
      <c r="B24" s="32">
        <f>AVERAGE(B22,B23)</f>
        <v/>
      </c>
    </row>
    <row r="25">
      <c r="A25" s="2" t="inlineStr">
        <is>
          <t>PV of TV</t>
        </is>
      </c>
      <c r="B25" s="32">
        <f>B24*F17</f>
        <v/>
      </c>
    </row>
    <row r="26">
      <c r="A26" s="19" t="inlineStr">
        <is>
          <t>Enterprise Value</t>
        </is>
      </c>
      <c r="B26" s="32">
        <f>B20+B25</f>
        <v/>
      </c>
    </row>
    <row r="27">
      <c r="A27" s="2" t="inlineStr">
        <is>
          <t>Less: Net Debt</t>
        </is>
      </c>
      <c r="B27" s="32">
        <f>ib_netdebt</f>
        <v/>
      </c>
    </row>
    <row r="28">
      <c r="A28" s="19" t="inlineStr">
        <is>
          <t>Equity Value</t>
        </is>
      </c>
      <c r="B28" s="32">
        <f>B26-B27</f>
        <v/>
      </c>
    </row>
    <row r="29">
      <c r="A29" s="2" t="inlineStr">
        <is>
          <t>Diluted Shares</t>
        </is>
      </c>
      <c r="B29" s="33">
        <f>ib_shares</f>
        <v/>
      </c>
    </row>
    <row r="30">
      <c r="A30" s="19" t="inlineStr">
        <is>
          <t>Implied Price</t>
        </is>
      </c>
      <c r="B30" s="24">
        <f>B28/B29</f>
        <v/>
      </c>
    </row>
    <row r="31">
      <c r="A31" s="2" t="inlineStr">
        <is>
          <t>Current Price</t>
        </is>
      </c>
      <c r="B31" s="23">
        <f>ib_px</f>
        <v/>
      </c>
    </row>
    <row r="32">
      <c r="A32" s="19" t="inlineStr">
        <is>
          <t>Upside %</t>
        </is>
      </c>
      <c r="B32" s="25">
        <f>B30/B31-1</f>
        <v/>
      </c>
    </row>
    <row r="33">
      <c r="A33" s="2" t="inlineStr">
        <is>
          <t>TV % of EV</t>
        </is>
      </c>
      <c r="B33" s="3">
        <f>B25/B26</f>
        <v/>
      </c>
    </row>
    <row r="40">
      <c r="A40" s="19" t="inlineStr">
        <is>
          <t>Headline DCF Px</t>
        </is>
      </c>
      <c r="B40" s="24">
        <f>B30</f>
        <v/>
      </c>
    </row>
  </sheetData>
  <mergeCells count="2">
    <mergeCell ref="A3:B3"/>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38.7109375" customWidth="1" min="1" max="1"/>
    <col width="16.7109375" customWidth="1" min="2" max="8"/>
  </cols>
  <sheetData>
    <row r="1">
      <c r="A1" s="11" t="inlineStr">
        <is>
          <t>LBO Model — Sources/Uses, Debt Schedule, Returns</t>
        </is>
      </c>
      <c r="B1" s="27" t="n"/>
      <c r="C1" s="27" t="n"/>
      <c r="D1" s="27" t="n"/>
      <c r="E1" s="27" t="n"/>
      <c r="F1" s="27" t="n"/>
      <c r="G1" s="27" t="n"/>
      <c r="H1" s="22" t="n"/>
    </row>
    <row r="3">
      <c r="A3" s="4" t="inlineStr">
        <is>
          <t>Sources</t>
        </is>
      </c>
      <c r="B3" s="27" t="n"/>
      <c r="C3" s="22" t="n"/>
    </row>
    <row r="4">
      <c r="A4" s="16" t="inlineStr">
        <is>
          <t>Source</t>
        </is>
      </c>
      <c r="B4" s="16" t="inlineStr">
        <is>
          <t>$ Amount</t>
        </is>
      </c>
      <c r="C4" s="16" t="inlineStr">
        <is>
          <t>% Total</t>
        </is>
      </c>
    </row>
    <row r="5">
      <c r="A5" s="2" t="inlineStr">
        <is>
          <t>New Term Debt</t>
        </is>
      </c>
      <c r="B5" s="32">
        <f>ib_EBDA1*ib_leverage</f>
        <v/>
      </c>
      <c r="C5" s="3">
        <f>B5/B7</f>
        <v/>
      </c>
    </row>
    <row r="6">
      <c r="A6" s="2" t="inlineStr">
        <is>
          <t>Sponsor Equity</t>
        </is>
      </c>
      <c r="B6" s="32">
        <f>B12-B5+B11</f>
        <v/>
      </c>
      <c r="C6" s="3">
        <f>B6/B7</f>
        <v/>
      </c>
    </row>
    <row r="7">
      <c r="A7" s="19" t="inlineStr">
        <is>
          <t>Total Sources</t>
        </is>
      </c>
      <c r="B7" s="32">
        <f>B5+B6</f>
        <v/>
      </c>
      <c r="C7" s="3">
        <f>1</f>
        <v/>
      </c>
    </row>
    <row r="9">
      <c r="A9" s="4" t="inlineStr">
        <is>
          <t>Uses</t>
        </is>
      </c>
      <c r="B9" s="27" t="n"/>
      <c r="C9" s="22" t="n"/>
    </row>
    <row r="10">
      <c r="A10" s="16" t="inlineStr">
        <is>
          <t>Use</t>
        </is>
      </c>
      <c r="B10" s="16" t="inlineStr">
        <is>
          <t>$ Amount</t>
        </is>
      </c>
      <c r="C10" s="16" t="n"/>
    </row>
    <row r="11">
      <c r="A11" s="2" t="inlineStr">
        <is>
          <t>Transaction Fees (2% EV)</t>
        </is>
      </c>
      <c r="B11" s="32">
        <f>B12*0.02</f>
        <v/>
      </c>
    </row>
    <row r="12">
      <c r="A12" s="2" t="inlineStr">
        <is>
          <t>Equity Purchase Price</t>
        </is>
      </c>
      <c r="B12" s="32">
        <f>ib_EBDA1*ib_entrym</f>
        <v/>
      </c>
    </row>
    <row r="13">
      <c r="A13" s="19" t="inlineStr">
        <is>
          <t>Total Uses</t>
        </is>
      </c>
      <c r="B13" s="32">
        <f>B11+B12</f>
        <v/>
      </c>
    </row>
    <row r="15">
      <c r="A15" s="4" t="inlineStr">
        <is>
          <t>Debt schedule (formulas)</t>
        </is>
      </c>
      <c r="B15" s="27" t="n"/>
      <c r="C15" s="27" t="n"/>
      <c r="D15" s="27" t="n"/>
      <c r="E15" s="27" t="n"/>
      <c r="F15" s="27" t="n"/>
      <c r="G15" s="22" t="n"/>
    </row>
    <row r="16">
      <c r="A16" s="16" t="inlineStr">
        <is>
          <t>Year</t>
        </is>
      </c>
      <c r="B16" s="16" t="inlineStr">
        <is>
          <t>Y1</t>
        </is>
      </c>
      <c r="C16" s="16" t="inlineStr">
        <is>
          <t>Y2</t>
        </is>
      </c>
      <c r="D16" s="16" t="inlineStr">
        <is>
          <t>Y3</t>
        </is>
      </c>
      <c r="E16" s="16" t="inlineStr">
        <is>
          <t>Y4</t>
        </is>
      </c>
      <c r="F16" s="16" t="inlineStr">
        <is>
          <t>Y5</t>
        </is>
      </c>
    </row>
    <row r="17">
      <c r="A17" s="2" t="inlineStr">
        <is>
          <t>Beginning Debt</t>
        </is>
      </c>
      <c r="B17" s="32">
        <f>B5</f>
        <v/>
      </c>
      <c r="C17" s="32">
        <f>B26</f>
        <v/>
      </c>
      <c r="D17" s="32">
        <f>C26</f>
        <v/>
      </c>
      <c r="E17" s="32">
        <f>D26</f>
        <v/>
      </c>
      <c r="F17" s="32">
        <f>E26</f>
        <v/>
      </c>
    </row>
    <row r="18">
      <c r="A18" s="2" t="inlineStr">
        <is>
          <t>Mandatory Amort (1%)</t>
        </is>
      </c>
      <c r="B18" s="32">
        <f>B17*0.01</f>
        <v/>
      </c>
      <c r="C18" s="32">
        <f>C17*0.01</f>
        <v/>
      </c>
      <c r="D18" s="32">
        <f>D17*0.01</f>
        <v/>
      </c>
      <c r="E18" s="32">
        <f>E17*0.01</f>
        <v/>
      </c>
      <c r="F18" s="32">
        <f>F17*0.01</f>
        <v/>
      </c>
    </row>
    <row r="19">
      <c r="A19" s="2" t="inlineStr">
        <is>
          <t>Cash Interest</t>
        </is>
      </c>
      <c r="B19" s="32">
        <f>B17*ib_kdLBO</f>
        <v/>
      </c>
      <c r="C19" s="32">
        <f>C17*ib_kdLBO</f>
        <v/>
      </c>
      <c r="D19" s="32">
        <f>D17*ib_kdLBO</f>
        <v/>
      </c>
      <c r="E19" s="32">
        <f>E17*ib_kdLBO</f>
        <v/>
      </c>
      <c r="F19" s="32">
        <f>F17*ib_kdLBO</f>
        <v/>
      </c>
    </row>
    <row r="20">
      <c r="A20" s="2" t="inlineStr">
        <is>
          <t>EBITDA</t>
        </is>
      </c>
      <c r="B20" s="32">
        <f>Forecast!C5</f>
        <v/>
      </c>
      <c r="C20" s="32">
        <f>Forecast!D5</f>
        <v/>
      </c>
      <c r="D20" s="32">
        <f>Forecast!E5</f>
        <v/>
      </c>
      <c r="E20" s="32">
        <f>Forecast!F5</f>
        <v/>
      </c>
      <c r="F20" s="32">
        <f>Forecast!G5</f>
        <v/>
      </c>
    </row>
    <row r="21">
      <c r="A21" s="2" t="inlineStr">
        <is>
          <t>Less: Cash Taxes</t>
        </is>
      </c>
      <c r="B21" s="32">
        <f>(Forecast!C8-B19)*ib_tax</f>
        <v/>
      </c>
      <c r="C21" s="32">
        <f>(Forecast!D8-C19)*ib_tax</f>
        <v/>
      </c>
      <c r="D21" s="32">
        <f>(Forecast!E8-D19)*ib_tax</f>
        <v/>
      </c>
      <c r="E21" s="32">
        <f>(Forecast!F8-E19)*ib_tax</f>
        <v/>
      </c>
      <c r="F21" s="32">
        <f>(Forecast!G8-F19)*ib_tax</f>
        <v/>
      </c>
    </row>
    <row r="22">
      <c r="A22" s="2" t="inlineStr">
        <is>
          <t>Less: Capex</t>
        </is>
      </c>
      <c r="B22" s="32">
        <f>Forecast!C11</f>
        <v/>
      </c>
      <c r="C22" s="32">
        <f>Forecast!D11</f>
        <v/>
      </c>
      <c r="D22" s="32">
        <f>Forecast!E11</f>
        <v/>
      </c>
      <c r="E22" s="32">
        <f>Forecast!F11</f>
        <v/>
      </c>
      <c r="F22" s="32">
        <f>Forecast!G11</f>
        <v/>
      </c>
    </row>
    <row r="23">
      <c r="A23" s="2" t="inlineStr">
        <is>
          <t>Less: Δ NWC</t>
        </is>
      </c>
      <c r="B23" s="32">
        <f>Forecast!C12</f>
        <v/>
      </c>
      <c r="C23" s="32">
        <f>Forecast!D12</f>
        <v/>
      </c>
      <c r="D23" s="32">
        <f>Forecast!E12</f>
        <v/>
      </c>
      <c r="E23" s="32">
        <f>Forecast!F12</f>
        <v/>
      </c>
      <c r="F23" s="32">
        <f>Forecast!G12</f>
        <v/>
      </c>
    </row>
    <row r="24">
      <c r="A24" s="2" t="inlineStr">
        <is>
          <t>CFADS</t>
        </is>
      </c>
      <c r="B24" s="32">
        <f>B20-B19-MAX(0,B21)-B22-B23</f>
        <v/>
      </c>
      <c r="C24" s="32">
        <f>C20-C19-MAX(0,C21)-C22-C23</f>
        <v/>
      </c>
      <c r="D24" s="32">
        <f>D20-D19-MAX(0,D21)-D22-D23</f>
        <v/>
      </c>
      <c r="E24" s="32">
        <f>E20-E19-MAX(0,E21)-E22-E23</f>
        <v/>
      </c>
      <c r="F24" s="32">
        <f>F20-F19-MAX(0,F21)-F22-F23</f>
        <v/>
      </c>
    </row>
    <row r="25">
      <c r="A25" s="2" t="inlineStr">
        <is>
          <t>Cash Sweep</t>
        </is>
      </c>
      <c r="B25" s="32">
        <f>MIN(MAX(0,(B24-B18))*ib_sweep,MAX(0,B17-B18))</f>
        <v/>
      </c>
      <c r="C25" s="32">
        <f>MIN(MAX(0,(C24-C18))*ib_sweep,MAX(0,C17-C18))</f>
        <v/>
      </c>
      <c r="D25" s="32">
        <f>MIN(MAX(0,(D24-D18))*ib_sweep,MAX(0,D17-D18))</f>
        <v/>
      </c>
      <c r="E25" s="32">
        <f>MIN(MAX(0,(E24-E18))*ib_sweep,MAX(0,E17-E18))</f>
        <v/>
      </c>
      <c r="F25" s="32">
        <f>MIN(MAX(0,(F24-F18))*ib_sweep,MAX(0,F17-F18))</f>
        <v/>
      </c>
    </row>
    <row r="26">
      <c r="A26" s="2" t="inlineStr">
        <is>
          <t>Ending Debt</t>
        </is>
      </c>
      <c r="B26" s="32">
        <f>B17-B18-B25</f>
        <v/>
      </c>
      <c r="C26" s="32">
        <f>C17-C18-C25</f>
        <v/>
      </c>
      <c r="D26" s="32">
        <f>D17-D18-D25</f>
        <v/>
      </c>
      <c r="E26" s="32">
        <f>E17-E18-E25</f>
        <v/>
      </c>
      <c r="F26" s="32">
        <f>F17-F18-F25</f>
        <v/>
      </c>
    </row>
    <row r="27">
      <c r="A27" s="2" t="inlineStr">
        <is>
          <t>Net Debt / EBITDA</t>
        </is>
      </c>
      <c r="B27" s="26">
        <f>B26/B20</f>
        <v/>
      </c>
      <c r="C27" s="26">
        <f>C26/C20</f>
        <v/>
      </c>
      <c r="D27" s="26">
        <f>D26/D20</f>
        <v/>
      </c>
      <c r="E27" s="26">
        <f>E26/E20</f>
        <v/>
      </c>
      <c r="F27" s="26">
        <f>F26/F20</f>
        <v/>
      </c>
    </row>
    <row r="28">
      <c r="A28" s="2" t="inlineStr">
        <is>
          <t>Interest Coverage</t>
        </is>
      </c>
      <c r="B28" s="26">
        <f>B20/B19</f>
        <v/>
      </c>
      <c r="C28" s="26">
        <f>C20/C19</f>
        <v/>
      </c>
      <c r="D28" s="26">
        <f>D20/D19</f>
        <v/>
      </c>
      <c r="E28" s="26">
        <f>E20/E19</f>
        <v/>
      </c>
      <c r="F28" s="26">
        <f>F20/F19</f>
        <v/>
      </c>
    </row>
    <row r="30">
      <c r="A30" s="4" t="inlineStr">
        <is>
          <t>Sponsor Returns</t>
        </is>
      </c>
      <c r="B30" s="27" t="n"/>
      <c r="C30" s="22" t="n"/>
    </row>
    <row r="31">
      <c r="A31" s="2" t="inlineStr">
        <is>
          <t>Exit Year EBITDA</t>
        </is>
      </c>
      <c r="B31" s="32">
        <f>Forecast!G5</f>
        <v/>
      </c>
    </row>
    <row r="32">
      <c r="A32" s="2" t="inlineStr">
        <is>
          <t>Exit Multiple</t>
        </is>
      </c>
      <c r="B32" s="26">
        <f>ib_exitm</f>
        <v/>
      </c>
    </row>
    <row r="33">
      <c r="A33" s="19" t="inlineStr">
        <is>
          <t>Exit EV</t>
        </is>
      </c>
      <c r="B33" s="32">
        <f>B31*B32</f>
        <v/>
      </c>
    </row>
    <row r="34">
      <c r="A34" s="2" t="inlineStr">
        <is>
          <t>Less: Exit Debt</t>
        </is>
      </c>
      <c r="B34" s="32">
        <f>F26</f>
        <v/>
      </c>
    </row>
    <row r="35">
      <c r="A35" s="2" t="inlineStr">
        <is>
          <t>Plus: Retained Cash</t>
        </is>
      </c>
      <c r="B35" s="32">
        <f>SUMPRODUCT((B24:F24-B25:F25-B18:F18&gt;0)*(B24:F24-B25:F25-B18:F18))</f>
        <v/>
      </c>
    </row>
    <row r="36">
      <c r="A36" s="19" t="inlineStr">
        <is>
          <t>Equity to Sponsor</t>
        </is>
      </c>
      <c r="B36" s="32">
        <f>B33-B34+B35</f>
        <v/>
      </c>
    </row>
    <row r="37">
      <c r="A37" s="2" t="inlineStr">
        <is>
          <t>Sponsor Equity Invested</t>
        </is>
      </c>
      <c r="B37" s="32">
        <f>B6</f>
        <v/>
      </c>
    </row>
    <row r="38">
      <c r="A38" s="19" t="inlineStr">
        <is>
          <t>MOIC</t>
        </is>
      </c>
      <c r="B38" s="24">
        <f>B36/B37</f>
        <v/>
      </c>
    </row>
    <row r="39">
      <c r="A39" s="2" t="inlineStr">
        <is>
          <t>Hold Period</t>
        </is>
      </c>
      <c r="B39" s="33">
        <f>ib_hold</f>
        <v/>
      </c>
    </row>
    <row r="40">
      <c r="A40" s="19" t="inlineStr">
        <is>
          <t>IRR</t>
        </is>
      </c>
      <c r="B40" s="25">
        <f>B38^(1/B39)-1</f>
        <v/>
      </c>
    </row>
    <row r="41">
      <c r="A41" s="19" t="inlineStr">
        <is>
          <t>MOIC (linked)</t>
        </is>
      </c>
      <c r="B41" s="24">
        <f>B38</f>
        <v/>
      </c>
    </row>
  </sheetData>
  <mergeCells count="5">
    <mergeCell ref="A9:C9"/>
    <mergeCell ref="A3:C3"/>
    <mergeCell ref="A15:G15"/>
    <mergeCell ref="A30:C30"/>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6.7109375" customWidth="1" min="1" max="1"/>
    <col width="18.7109375" customWidth="1" min="2" max="4"/>
  </cols>
  <sheetData>
    <row r="1">
      <c r="A1" s="11" t="inlineStr">
        <is>
          <t>LBO Returns Attribution</t>
        </is>
      </c>
      <c r="B1" s="27" t="n"/>
      <c r="C1" s="27" t="n"/>
      <c r="D1" s="22" t="n"/>
    </row>
    <row r="3">
      <c r="A3" s="4" t="inlineStr">
        <is>
          <t>Decomposition of value created over hold</t>
        </is>
      </c>
      <c r="B3" s="27" t="n"/>
      <c r="C3" s="27" t="n"/>
      <c r="D3" s="22" t="n"/>
    </row>
    <row r="4">
      <c r="A4" s="16" t="inlineStr">
        <is>
          <t>Driver</t>
        </is>
      </c>
      <c r="B4" s="16" t="inlineStr">
        <is>
          <t>$ Contribution</t>
        </is>
      </c>
      <c r="C4" s="16" t="inlineStr">
        <is>
          <t>% of Total</t>
        </is>
      </c>
      <c r="D4" s="16" t="inlineStr">
        <is>
          <t>Notes</t>
        </is>
      </c>
    </row>
    <row r="5">
      <c r="A5" s="2" t="inlineStr">
        <is>
          <t>EBITDA Growth</t>
        </is>
      </c>
      <c r="B5" s="32" t="n">
        <v>111507462327.3031</v>
      </c>
      <c r="C5" s="3" t="n">
        <v>1.335971808635643</v>
      </c>
      <c r="D5" s="10">
        <f> (Exit EBITDA − Entry EBITDA) × Entry Multiple</f>
        <v/>
      </c>
    </row>
    <row r="6">
      <c r="A6" s="2" t="inlineStr">
        <is>
          <t>Multiple Expansion / (Compression)</t>
        </is>
      </c>
      <c r="B6" s="32" t="n">
        <v>-32408032147.15066</v>
      </c>
      <c r="C6" s="3" t="n">
        <v>-0.388280895451332</v>
      </c>
      <c r="D6" s="10">
        <f> Exit EBITDA × (Exit Mult − Entry Mult)</f>
        <v/>
      </c>
    </row>
    <row r="7">
      <c r="A7" s="2" t="inlineStr">
        <is>
          <t>Debt Paydown + Cash Generation</t>
        </is>
      </c>
      <c r="B7" s="32" t="n">
        <v>4366000457.324661</v>
      </c>
      <c r="C7" s="3" t="n">
        <v>0.05230908681568902</v>
      </c>
      <c r="D7" s="10">
        <f> ΔDebt + retained cash + recaps</f>
        <v/>
      </c>
    </row>
    <row r="8">
      <c r="A8" s="19" t="inlineStr">
        <is>
          <t>Total Value Creation</t>
        </is>
      </c>
      <c r="B8" s="32" t="n">
        <v>83465430637.47713</v>
      </c>
      <c r="C8" s="3" t="n">
        <v>1</v>
      </c>
      <c r="D8" s="10" t="inlineStr">
        <is>
          <t>Sum of above (≈ change in sponsor equity)</t>
        </is>
      </c>
    </row>
    <row r="11">
      <c r="A11" s="4" t="inlineStr">
        <is>
          <t>How to read this</t>
        </is>
      </c>
      <c r="B11" s="27" t="n"/>
      <c r="C11" s="27" t="n"/>
      <c r="D11" s="22" t="n"/>
    </row>
    <row r="12">
      <c r="A12" s="10" t="inlineStr">
        <is>
          <t>If EBITDA Growth dominates, the deal works on operational improvement. If Multiple Expansion dominates, the thesis is multiple re-rating — fragile. If Debt Paydown dominates, the deal is a financial-engineering bet — sensitive to interest rate environment and refinancing risk.</t>
        </is>
      </c>
    </row>
    <row r="13"/>
    <row r="14"/>
    <row r="15"/>
    <row r="16"/>
  </sheetData>
  <mergeCells count="4">
    <mergeCell ref="A1:D1"/>
    <mergeCell ref="A3:D3"/>
    <mergeCell ref="A12:D16"/>
    <mergeCell ref="A11:D1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36.7109375" customWidth="1" min="1" max="1"/>
    <col width="18.7109375" customWidth="1" min="2" max="5"/>
  </cols>
  <sheetData>
    <row r="1">
      <c r="A1" s="11" t="inlineStr">
        <is>
          <t>M&amp;A Accretion / Dilution</t>
        </is>
      </c>
      <c r="B1" s="27" t="n"/>
      <c r="C1" s="27" t="n"/>
      <c r="D1" s="27" t="n"/>
      <c r="E1" s="22" t="n"/>
    </row>
    <row r="3">
      <c r="A3" s="4" t="inlineStr">
        <is>
          <t>Transaction summary</t>
        </is>
      </c>
      <c r="B3" s="22" t="n"/>
    </row>
    <row r="4">
      <c r="A4" s="2" t="inlineStr">
        <is>
          <t>Target Current Price</t>
        </is>
      </c>
      <c r="B4" s="32" t="n">
        <v>65</v>
      </c>
    </row>
    <row r="5">
      <c r="A5" s="2" t="inlineStr">
        <is>
          <t>Premium %</t>
        </is>
      </c>
      <c r="B5" s="32" t="n">
        <v>0.3</v>
      </c>
    </row>
    <row r="6">
      <c r="A6" s="2" t="inlineStr">
        <is>
          <t>Offer Price/Share</t>
        </is>
      </c>
      <c r="B6" s="32" t="n">
        <v>84.5</v>
      </c>
    </row>
    <row r="7">
      <c r="A7" s="2" t="inlineStr">
        <is>
          <t>Target Shares Outstanding</t>
        </is>
      </c>
      <c r="B7" s="32" t="n">
        <v>230769230.7692308</v>
      </c>
    </row>
    <row r="8">
      <c r="A8" s="2" t="inlineStr">
        <is>
          <t>Equity Purchase Price</t>
        </is>
      </c>
      <c r="B8" s="32" t="n">
        <v>19500000000</v>
      </c>
    </row>
    <row r="9">
      <c r="A9" s="2" t="inlineStr">
        <is>
          <t>Target Net Debt Assumed</t>
        </is>
      </c>
      <c r="B9" s="32" t="n">
        <v>3050000000</v>
      </c>
    </row>
    <row r="10">
      <c r="A10" s="2" t="inlineStr">
        <is>
          <t>Deal Fees</t>
        </is>
      </c>
      <c r="B10" s="32" t="n">
        <v>338250000</v>
      </c>
    </row>
    <row r="11">
      <c r="A11" s="2" t="inlineStr">
        <is>
          <t>Total Deal Value</t>
        </is>
      </c>
      <c r="B11" s="32" t="n">
        <v>22550000000</v>
      </c>
    </row>
    <row r="14">
      <c r="A14" s="4" t="inlineStr">
        <is>
          <t>Pro-forma EPS by financing mix</t>
        </is>
      </c>
      <c r="B14" s="27" t="n"/>
      <c r="C14" s="27" t="n"/>
      <c r="D14" s="27" t="n"/>
      <c r="E14" s="22" t="n"/>
    </row>
    <row r="15">
      <c r="A15" s="16" t="inlineStr">
        <is>
          <t>Metric</t>
        </is>
      </c>
      <c r="B15" s="16" t="inlineStr">
        <is>
          <t>All Stock</t>
        </is>
      </c>
      <c r="C15" s="16" t="inlineStr">
        <is>
          <t>All Cash</t>
        </is>
      </c>
      <c r="D15" s="16" t="inlineStr">
        <is>
          <t>50/50 Mix</t>
        </is>
      </c>
    </row>
    <row r="16">
      <c r="A16" s="2" t="inlineStr">
        <is>
          <t>Stock %</t>
        </is>
      </c>
      <c r="B16" s="3" t="n">
        <v>1</v>
      </c>
      <c r="C16" s="3" t="n">
        <v>0</v>
      </c>
      <c r="D16" s="3" t="n">
        <v>0.5</v>
      </c>
    </row>
    <row r="17">
      <c r="A17" s="2" t="inlineStr">
        <is>
          <t>Cash %</t>
        </is>
      </c>
      <c r="B17" s="3" t="n">
        <v>0</v>
      </c>
      <c r="C17" s="3" t="n">
        <v>1</v>
      </c>
      <c r="D17" s="3" t="n">
        <v>0.5</v>
      </c>
    </row>
    <row r="18">
      <c r="A18" s="2" t="inlineStr">
        <is>
          <t>New Shares Issued</t>
        </is>
      </c>
      <c r="B18" s="32" t="n">
        <v>179806362.3789765</v>
      </c>
      <c r="C18" s="32" t="n">
        <v>0</v>
      </c>
      <c r="D18" s="32" t="n">
        <v>89903181.18948825</v>
      </c>
    </row>
    <row r="19">
      <c r="A19" s="2" t="inlineStr">
        <is>
          <t>New Debt Raised</t>
        </is>
      </c>
      <c r="B19" s="32" t="n">
        <v>338250000</v>
      </c>
      <c r="C19" s="32" t="n">
        <v>19838250000</v>
      </c>
      <c r="D19" s="32" t="n">
        <v>10088250000</v>
      </c>
    </row>
    <row r="20">
      <c r="A20" s="2" t="inlineStr">
        <is>
          <t>After-tax Interest</t>
        </is>
      </c>
      <c r="B20" s="32" t="n">
        <v>20125875</v>
      </c>
      <c r="C20" s="32" t="n">
        <v>1180375875</v>
      </c>
      <c r="D20" s="32" t="n">
        <v>600250875.0000001</v>
      </c>
    </row>
    <row r="21">
      <c r="A21" s="2" t="inlineStr">
        <is>
          <t>Synergies (after-tax)</t>
        </is>
      </c>
      <c r="B21" s="32" t="n">
        <v>564187500</v>
      </c>
      <c r="C21" s="32" t="n">
        <v>564187500</v>
      </c>
      <c r="D21" s="32" t="n">
        <v>564187500</v>
      </c>
    </row>
    <row r="22">
      <c r="A22" s="2" t="inlineStr">
        <is>
          <t>Pro-forma Net Income</t>
        </is>
      </c>
      <c r="B22" s="32" t="n">
        <v>8164061625</v>
      </c>
      <c r="C22" s="32" t="n">
        <v>7003811625</v>
      </c>
      <c r="D22" s="32" t="n">
        <v>7583936625</v>
      </c>
    </row>
    <row r="23">
      <c r="A23" s="2" t="inlineStr">
        <is>
          <t>Pro-forma Shares</t>
        </is>
      </c>
      <c r="B23" s="32" t="n">
        <v>1299806362.378977</v>
      </c>
      <c r="C23" s="32" t="n">
        <v>1120000000</v>
      </c>
      <c r="D23" s="32" t="n">
        <v>1209903181.189488</v>
      </c>
    </row>
    <row r="24">
      <c r="A24" s="2" t="inlineStr">
        <is>
          <t>Pro-forma EPS</t>
        </is>
      </c>
      <c r="B24" s="32" t="n">
        <v>6.280982968922916</v>
      </c>
      <c r="C24" s="32" t="n">
        <v>6.253403236607143</v>
      </c>
      <c r="D24" s="32" t="n">
        <v>6.26821777387512</v>
      </c>
    </row>
    <row r="25">
      <c r="A25" s="2" t="inlineStr">
        <is>
          <t>Acquirer Standalone EPS</t>
        </is>
      </c>
      <c r="B25" s="32" t="n">
        <v>6.446428571428571</v>
      </c>
      <c r="C25" s="32" t="n">
        <v>6.446428571428571</v>
      </c>
      <c r="D25" s="32" t="n">
        <v>6.446428571428571</v>
      </c>
    </row>
    <row r="26">
      <c r="A26" s="2" t="inlineStr">
        <is>
          <t>Accretion / (Dilution) %</t>
        </is>
      </c>
      <c r="B26" s="3" t="n">
        <v>-0.02566469180143127</v>
      </c>
      <c r="C26" s="3" t="n">
        <v>-0.02994298822714669</v>
      </c>
      <c r="D26" s="3" t="n">
        <v>-0.02764488826313916</v>
      </c>
    </row>
  </sheetData>
  <mergeCells count="3">
    <mergeCell ref="A1:E1"/>
    <mergeCell ref="A3:B3"/>
    <mergeCell ref="A14:E14"/>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S28"/>
  <sheetViews>
    <sheetView workbookViewId="0">
      <selection activeCell="A1" sqref="A1"/>
    </sheetView>
  </sheetViews>
  <sheetFormatPr baseColWidth="8" defaultRowHeight="15"/>
  <cols>
    <col width="22.7109375" customWidth="1" min="1" max="1"/>
    <col width="14.7109375" customWidth="1" min="2" max="26"/>
  </cols>
  <sheetData>
    <row r="1">
      <c r="A1" s="11" t="inlineStr">
        <is>
          <t>Comparable Company Analysis</t>
        </is>
      </c>
      <c r="B1" s="27" t="n"/>
      <c r="C1" s="27" t="n"/>
      <c r="D1" s="27" t="n"/>
      <c r="E1" s="27" t="n"/>
      <c r="F1" s="27" t="n"/>
      <c r="G1" s="27" t="n"/>
      <c r="H1" s="27" t="n"/>
      <c r="I1" s="27" t="n"/>
      <c r="J1" s="27" t="n"/>
      <c r="K1" s="27" t="n"/>
      <c r="L1" s="27" t="n"/>
      <c r="M1" s="22" t="n"/>
    </row>
    <row r="3">
      <c r="A3" s="16" t="inlineStr">
        <is>
          <t>Ticker</t>
        </is>
      </c>
      <c r="B3" s="16" t="inlineStr">
        <is>
          <t>Name</t>
        </is>
      </c>
      <c r="C3" s="16" t="inlineStr">
        <is>
          <t>Sector</t>
        </is>
      </c>
      <c r="D3" s="16" t="inlineStr">
        <is>
          <t>Industry</t>
        </is>
      </c>
      <c r="E3" s="16" t="inlineStr">
        <is>
          <t>Price</t>
        </is>
      </c>
      <c r="F3" s="16" t="inlineStr">
        <is>
          <t>Market Cap</t>
        </is>
      </c>
      <c r="G3" s="16" t="inlineStr">
        <is>
          <t>Enterprise Value</t>
        </is>
      </c>
      <c r="H3" s="16" t="inlineStr">
        <is>
          <t>Revenue (LTM)</t>
        </is>
      </c>
      <c r="I3" s="16" t="inlineStr">
        <is>
          <t>EBITDA (LTM, Adj)</t>
        </is>
      </c>
      <c r="J3" s="16" t="inlineStr">
        <is>
          <t>Net Income (LTM)</t>
        </is>
      </c>
      <c r="K3" s="16" t="inlineStr">
        <is>
          <t>Diluted EPS (LTM)</t>
        </is>
      </c>
      <c r="L3" s="16" t="inlineStr">
        <is>
          <t>Forward EPS</t>
        </is>
      </c>
      <c r="M3" s="16" t="inlineStr">
        <is>
          <t>Book Value</t>
        </is>
      </c>
      <c r="N3" s="16" t="inlineStr">
        <is>
          <t>EV/Revenue (LTM)</t>
        </is>
      </c>
      <c r="O3" s="16" t="inlineStr">
        <is>
          <t>EV/EBITDA (LTM)</t>
        </is>
      </c>
      <c r="P3" s="16" t="inlineStr">
        <is>
          <t>EV/EBITDA (yf)</t>
        </is>
      </c>
      <c r="Q3" s="16" t="inlineStr">
        <is>
          <t>P/E (LTM)</t>
        </is>
      </c>
      <c r="R3" s="16" t="inlineStr">
        <is>
          <t>Forward P/E</t>
        </is>
      </c>
      <c r="S3" s="16" t="inlineStr">
        <is>
          <t>P/B</t>
        </is>
      </c>
    </row>
    <row r="4">
      <c r="A4" t="inlineStr">
        <is>
          <t>MU</t>
        </is>
      </c>
      <c r="B4" t="inlineStr">
        <is>
          <t>Micron Technology, Inc.</t>
        </is>
      </c>
      <c r="C4" t="inlineStr">
        <is>
          <t>Technology</t>
        </is>
      </c>
      <c r="D4" t="inlineStr">
        <is>
          <t>Semiconductors</t>
        </is>
      </c>
      <c r="E4" s="32" t="n">
        <v>108.45</v>
      </c>
      <c r="F4" s="32" t="n">
        <v>121500000000</v>
      </c>
      <c r="G4" s="32" t="n">
        <v>125350000000</v>
      </c>
      <c r="H4" s="32" t="n">
        <v>35500000000</v>
      </c>
      <c r="I4" s="32" t="n">
        <v>15910000000</v>
      </c>
      <c r="J4" s="32" t="n">
        <v>7220000000</v>
      </c>
      <c r="K4" s="32" t="n">
        <v>6.45</v>
      </c>
      <c r="M4" s="32" t="n">
        <v>44300000000</v>
      </c>
      <c r="N4" s="26" t="n">
        <v>3.530985915492958</v>
      </c>
      <c r="O4" s="26" t="n">
        <v>7.878692646134507</v>
      </c>
      <c r="Q4" s="26" t="n">
        <v>16.81395348837209</v>
      </c>
      <c r="R4" s="26" t="n">
        <v>14.2</v>
      </c>
      <c r="S4" s="26" t="n">
        <v>2.742663656884876</v>
      </c>
    </row>
    <row r="5">
      <c r="A5" t="inlineStr">
        <is>
          <t>WDC</t>
        </is>
      </c>
      <c r="B5" t="inlineStr">
        <is>
          <t>Western Digital</t>
        </is>
      </c>
      <c r="C5" t="inlineStr">
        <is>
          <t>Technology</t>
        </is>
      </c>
      <c r="D5" t="inlineStr">
        <is>
          <t>Semiconductors</t>
        </is>
      </c>
      <c r="E5" s="32" t="n">
        <v>65</v>
      </c>
      <c r="F5" s="32" t="n">
        <v>15000000000</v>
      </c>
      <c r="G5" s="32" t="n">
        <v>19000000000</v>
      </c>
      <c r="H5" s="32" t="n">
        <v>12500000000</v>
      </c>
      <c r="I5" s="32" t="n">
        <v>1250000000</v>
      </c>
      <c r="J5" s="32" t="n">
        <v>400000000</v>
      </c>
      <c r="K5" s="32" t="n">
        <v>1.2</v>
      </c>
      <c r="M5" s="32" t="n">
        <v>5000000000</v>
      </c>
      <c r="N5" s="26" t="n">
        <v>1.52</v>
      </c>
      <c r="O5" s="26" t="n">
        <v>15.2</v>
      </c>
      <c r="Q5" s="26" t="n">
        <v>54.16666666666667</v>
      </c>
      <c r="S5" s="26" t="n">
        <v>3</v>
      </c>
    </row>
    <row r="6">
      <c r="A6" t="inlineStr">
        <is>
          <t>STX</t>
        </is>
      </c>
      <c r="B6" t="inlineStr">
        <is>
          <t>Seagate Technology</t>
        </is>
      </c>
      <c r="C6" t="inlineStr">
        <is>
          <t>Technology</t>
        </is>
      </c>
      <c r="D6" t="inlineStr">
        <is>
          <t>Semiconductors</t>
        </is>
      </c>
      <c r="E6" s="32" t="n">
        <v>102</v>
      </c>
      <c r="F6" s="32" t="n">
        <v>22000000000</v>
      </c>
      <c r="G6" s="32" t="n">
        <v>27000000000</v>
      </c>
      <c r="H6" s="32" t="n">
        <v>7000000000</v>
      </c>
      <c r="I6" s="32" t="n">
        <v>1260000000</v>
      </c>
      <c r="J6" s="32" t="n">
        <v>600000000</v>
      </c>
      <c r="K6" s="32" t="n">
        <v>2.85</v>
      </c>
      <c r="M6" s="32" t="n">
        <v>1500000000</v>
      </c>
      <c r="N6" s="26" t="n">
        <v>3.857142857142857</v>
      </c>
      <c r="O6" s="26" t="n">
        <v>21.42857142857143</v>
      </c>
      <c r="Q6" s="26" t="n">
        <v>35.78947368421053</v>
      </c>
      <c r="S6" s="26" t="n">
        <v>14.66666666666667</v>
      </c>
    </row>
    <row r="7">
      <c r="A7" t="inlineStr">
        <is>
          <t>NVDA</t>
        </is>
      </c>
      <c r="B7" t="inlineStr">
        <is>
          <t>NVIDIA</t>
        </is>
      </c>
      <c r="C7" t="inlineStr">
        <is>
          <t>Technology</t>
        </is>
      </c>
      <c r="D7" t="inlineStr">
        <is>
          <t>Semiconductors</t>
        </is>
      </c>
      <c r="E7" s="32" t="n">
        <v>122</v>
      </c>
      <c r="F7" s="32" t="n">
        <v>3000000000000</v>
      </c>
      <c r="G7" s="32" t="n">
        <v>2980000000000</v>
      </c>
      <c r="H7" s="32" t="n">
        <v>130000000000</v>
      </c>
      <c r="I7" s="32" t="n">
        <v>77400000000</v>
      </c>
      <c r="J7" s="32" t="n">
        <v>60000000000</v>
      </c>
      <c r="K7" s="32" t="n">
        <v>2.45</v>
      </c>
      <c r="M7" s="32" t="n">
        <v>50000000000</v>
      </c>
      <c r="N7" s="26" t="n">
        <v>22.92307692307692</v>
      </c>
      <c r="O7" s="26" t="n">
        <v>38.50129198966408</v>
      </c>
      <c r="Q7" s="26" t="n">
        <v>49.79591836734694</v>
      </c>
      <c r="S7" s="26" t="n">
        <v>60</v>
      </c>
    </row>
    <row r="8">
      <c r="A8" t="inlineStr">
        <is>
          <t>TSM</t>
        </is>
      </c>
      <c r="B8" t="inlineStr">
        <is>
          <t>Taiwan Semiconductor</t>
        </is>
      </c>
      <c r="C8" t="inlineStr">
        <is>
          <t>Technology</t>
        </is>
      </c>
      <c r="D8" t="inlineStr">
        <is>
          <t>Semiconductors</t>
        </is>
      </c>
      <c r="E8" s="32" t="n">
        <v>175</v>
      </c>
      <c r="F8" s="32" t="n">
        <v>900000000000</v>
      </c>
      <c r="G8" s="32" t="n">
        <v>870000000000</v>
      </c>
      <c r="H8" s="32" t="n">
        <v>90000000000</v>
      </c>
      <c r="I8" s="32" t="n">
        <v>58200000000</v>
      </c>
      <c r="J8" s="32" t="n">
        <v>33000000000</v>
      </c>
      <c r="K8" s="32" t="n">
        <v>6.3</v>
      </c>
      <c r="M8" s="32" t="n">
        <v>110000000000</v>
      </c>
      <c r="N8" s="26" t="n">
        <v>9.666666666666666</v>
      </c>
      <c r="O8" s="26" t="n">
        <v>14.94845360824742</v>
      </c>
      <c r="Q8" s="26" t="n">
        <v>27.77777777777778</v>
      </c>
      <c r="S8" s="26" t="n">
        <v>8.181818181818182</v>
      </c>
    </row>
    <row r="9">
      <c r="A9" t="inlineStr">
        <is>
          <t>AVGO</t>
        </is>
      </c>
      <c r="B9" t="inlineStr">
        <is>
          <t>Broadcom</t>
        </is>
      </c>
      <c r="C9" t="inlineStr">
        <is>
          <t>Technology</t>
        </is>
      </c>
      <c r="D9" t="inlineStr">
        <is>
          <t>Semiconductors</t>
        </is>
      </c>
      <c r="E9" s="32" t="n">
        <v>168</v>
      </c>
      <c r="F9" s="32" t="n">
        <v>790000000000</v>
      </c>
      <c r="G9" s="32" t="n">
        <v>850000000000</v>
      </c>
      <c r="H9" s="32" t="n">
        <v>50000000000</v>
      </c>
      <c r="I9" s="32" t="n">
        <v>29000000000</v>
      </c>
      <c r="J9" s="32" t="n">
        <v>14000000000</v>
      </c>
      <c r="K9" s="32" t="n">
        <v>3.1</v>
      </c>
      <c r="M9" s="32" t="n">
        <v>70000000000</v>
      </c>
      <c r="N9" s="26" t="n">
        <v>17</v>
      </c>
      <c r="O9" s="26" t="n">
        <v>29.31034482758621</v>
      </c>
      <c r="Q9" s="26" t="n">
        <v>54.19354838709678</v>
      </c>
      <c r="S9" s="26" t="n">
        <v>11.28571428571429</v>
      </c>
    </row>
    <row r="10">
      <c r="A10" t="inlineStr">
        <is>
          <t>INTC</t>
        </is>
      </c>
      <c r="B10" t="inlineStr">
        <is>
          <t>Intel</t>
        </is>
      </c>
      <c r="C10" t="inlineStr">
        <is>
          <t>Technology</t>
        </is>
      </c>
      <c r="D10" t="inlineStr">
        <is>
          <t>Semiconductors</t>
        </is>
      </c>
      <c r="E10" s="32" t="n">
        <v>23</v>
      </c>
      <c r="F10" s="32" t="n">
        <v>100000000000</v>
      </c>
      <c r="G10" s="32" t="n">
        <v>130000000000</v>
      </c>
      <c r="H10" s="32" t="n">
        <v>55000000000</v>
      </c>
      <c r="I10" s="32" t="n">
        <v>8900000000</v>
      </c>
      <c r="J10" s="32" t="n">
        <v>1000000000</v>
      </c>
      <c r="K10" s="32" t="n">
        <v>0.2</v>
      </c>
      <c r="M10" s="32" t="n">
        <v>110000000000</v>
      </c>
      <c r="N10" s="26" t="n">
        <v>2.363636363636364</v>
      </c>
      <c r="O10" s="26" t="n">
        <v>14.60674157303371</v>
      </c>
      <c r="Q10" s="26" t="n">
        <v>115</v>
      </c>
      <c r="S10" s="26" t="n">
        <v>0.9090909090909091</v>
      </c>
    </row>
    <row r="11">
      <c r="A11" t="inlineStr">
        <is>
          <t>AMD</t>
        </is>
      </c>
      <c r="B11" t="inlineStr">
        <is>
          <t>AMD</t>
        </is>
      </c>
      <c r="C11" t="inlineStr">
        <is>
          <t>Technology</t>
        </is>
      </c>
      <c r="D11" t="inlineStr">
        <is>
          <t>Semiconductors</t>
        </is>
      </c>
      <c r="E11" s="32" t="n">
        <v>137</v>
      </c>
      <c r="F11" s="32" t="n">
        <v>220000000000</v>
      </c>
      <c r="G11" s="32" t="n">
        <v>230000000000</v>
      </c>
      <c r="H11" s="32" t="n">
        <v>25000000000</v>
      </c>
      <c r="I11" s="32" t="n">
        <v>4500000000</v>
      </c>
      <c r="J11" s="32" t="n">
        <v>2000000000</v>
      </c>
      <c r="K11" s="32" t="n">
        <v>1.2</v>
      </c>
      <c r="M11" s="32" t="n">
        <v>55000000000</v>
      </c>
      <c r="N11" s="26" t="n">
        <v>9.199999999999999</v>
      </c>
      <c r="O11" s="26" t="n">
        <v>51.11111111111111</v>
      </c>
      <c r="Q11" s="26" t="n">
        <v>114.1666666666667</v>
      </c>
      <c r="S11" s="26" t="n">
        <v>4</v>
      </c>
    </row>
    <row r="13">
      <c r="A13" s="4" t="inlineStr">
        <is>
          <t>Peer-set statistics</t>
        </is>
      </c>
      <c r="B13" s="27" t="n"/>
      <c r="C13" s="27" t="n"/>
      <c r="D13" s="27" t="n"/>
      <c r="E13" s="27" t="n"/>
      <c r="F13" s="27" t="n"/>
      <c r="G13" s="27" t="n"/>
      <c r="H13" s="22" t="n"/>
    </row>
    <row r="14">
      <c r="A14" s="16" t="inlineStr">
        <is>
          <t>Multiple</t>
        </is>
      </c>
      <c r="B14" s="16" t="inlineStr">
        <is>
          <t>Min</t>
        </is>
      </c>
      <c r="C14" s="16" t="inlineStr">
        <is>
          <t>p25</t>
        </is>
      </c>
      <c r="D14" s="16" t="inlineStr">
        <is>
          <t>Median</t>
        </is>
      </c>
      <c r="E14" s="16" t="inlineStr">
        <is>
          <t>Mean</t>
        </is>
      </c>
      <c r="F14" s="16" t="inlineStr">
        <is>
          <t>p75</t>
        </is>
      </c>
      <c r="G14" s="16" t="inlineStr">
        <is>
          <t>Max</t>
        </is>
      </c>
      <c r="H14" s="16" t="inlineStr">
        <is>
          <t>Std</t>
        </is>
      </c>
    </row>
    <row r="15">
      <c r="A15" s="2" t="inlineStr">
        <is>
          <t>EV/Revenue (LTM)</t>
        </is>
      </c>
      <c r="B15" s="26" t="n">
        <v>1.52</v>
      </c>
      <c r="C15" s="26" t="n">
        <v>3.11038961038961</v>
      </c>
      <c r="D15" s="26" t="n">
        <v>9.199999999999999</v>
      </c>
      <c r="E15" s="26" t="n">
        <v>9.504360401503259</v>
      </c>
      <c r="F15" s="26" t="n">
        <v>13.33333333333333</v>
      </c>
      <c r="G15" s="26" t="n">
        <v>22.92307692307692</v>
      </c>
      <c r="H15" s="26" t="n">
        <v>7.989540677807207</v>
      </c>
    </row>
    <row r="16">
      <c r="A16" s="2" t="inlineStr">
        <is>
          <t>EV/EBITDA (LTM)</t>
        </is>
      </c>
      <c r="B16" s="26" t="n">
        <v>14.60674157303371</v>
      </c>
      <c r="C16" s="26" t="n">
        <v>15.07422680412371</v>
      </c>
      <c r="D16" s="26" t="n">
        <v>21.42857142857143</v>
      </c>
      <c r="E16" s="26" t="n">
        <v>26.44378779117342</v>
      </c>
      <c r="F16" s="26" t="n">
        <v>33.90581840862514</v>
      </c>
      <c r="G16" s="26" t="n">
        <v>51.11111111111111</v>
      </c>
      <c r="H16" s="26" t="n">
        <v>14.05886983790034</v>
      </c>
    </row>
    <row r="17">
      <c r="A17" s="2" t="inlineStr">
        <is>
          <t>EV/EBITDA (yf)</t>
        </is>
      </c>
      <c r="B17" s="26" t="n">
        <v>0</v>
      </c>
      <c r="C17" s="26" t="n">
        <v>0</v>
      </c>
      <c r="D17" s="26" t="n">
        <v>0</v>
      </c>
      <c r="E17" s="26" t="n">
        <v>0</v>
      </c>
      <c r="F17" s="26" t="n">
        <v>0</v>
      </c>
      <c r="G17" s="26" t="n">
        <v>0</v>
      </c>
      <c r="H17" s="26" t="n">
        <v>0</v>
      </c>
    </row>
    <row r="18">
      <c r="A18" s="2" t="inlineStr">
        <is>
          <t>P/E (LTM)</t>
        </is>
      </c>
      <c r="B18" s="26" t="n">
        <v>27.77777777777778</v>
      </c>
      <c r="C18" s="26" t="n">
        <v>42.79269602577873</v>
      </c>
      <c r="D18" s="26" t="n">
        <v>54.16666666666667</v>
      </c>
      <c r="E18" s="26" t="n">
        <v>64.41286450710933</v>
      </c>
      <c r="F18" s="26" t="n">
        <v>84.18010752688173</v>
      </c>
      <c r="G18" s="26" t="n">
        <v>115</v>
      </c>
      <c r="H18" s="26" t="n">
        <v>35.63472392478405</v>
      </c>
    </row>
    <row r="19">
      <c r="A19" s="2" t="inlineStr">
        <is>
          <t>Forward P/E</t>
        </is>
      </c>
      <c r="B19" s="26" t="n">
        <v>0</v>
      </c>
      <c r="C19" s="26" t="n">
        <v>0</v>
      </c>
      <c r="D19" s="26" t="n">
        <v>0</v>
      </c>
      <c r="E19" s="26" t="n">
        <v>0</v>
      </c>
      <c r="F19" s="26" t="n">
        <v>0</v>
      </c>
      <c r="G19" s="26" t="n">
        <v>0</v>
      </c>
      <c r="H19" s="26" t="n">
        <v>0</v>
      </c>
    </row>
    <row r="20">
      <c r="A20" s="2" t="inlineStr">
        <is>
          <t>P/B</t>
        </is>
      </c>
      <c r="B20" s="26" t="n">
        <v>0.9090909090909091</v>
      </c>
      <c r="C20" s="26" t="n">
        <v>3.5</v>
      </c>
      <c r="D20" s="26" t="n">
        <v>8.181818181818182</v>
      </c>
      <c r="E20" s="26" t="n">
        <v>14.57761286332715</v>
      </c>
      <c r="F20" s="26" t="n">
        <v>12.97619047619048</v>
      </c>
      <c r="G20" s="26" t="n">
        <v>60</v>
      </c>
      <c r="H20" s="26" t="n">
        <v>20.60622671079433</v>
      </c>
    </row>
    <row r="22">
      <c r="A22" s="4" t="inlineStr">
        <is>
          <t>Implied valuation w/ p25-p75 bands</t>
        </is>
      </c>
      <c r="B22" s="27" t="n"/>
      <c r="C22" s="27" t="n"/>
      <c r="D22" s="27" t="n"/>
      <c r="E22" s="27" t="n"/>
      <c r="F22" s="27" t="n"/>
      <c r="G22" s="22" t="n"/>
    </row>
    <row r="23">
      <c r="A23" s="16" t="inlineStr">
        <is>
          <t>Multiple</t>
        </is>
      </c>
      <c r="B23" s="16" t="inlineStr">
        <is>
          <t>Multiple</t>
        </is>
      </c>
      <c r="C23" s="16" t="inlineStr">
        <is>
          <t>p25 mult</t>
        </is>
      </c>
      <c r="D23" s="16" t="inlineStr">
        <is>
          <t>Median mult</t>
        </is>
      </c>
      <c r="E23" s="16" t="inlineStr">
        <is>
          <t>p75 mult</t>
        </is>
      </c>
      <c r="F23" s="16" t="inlineStr">
        <is>
          <t>Low $/sh</t>
        </is>
      </c>
      <c r="G23" s="16" t="inlineStr">
        <is>
          <t>High $/sh</t>
        </is>
      </c>
      <c r="H23" s="16" t="inlineStr">
        <is>
          <t>Median $/sh</t>
        </is>
      </c>
    </row>
    <row r="24">
      <c r="A24" s="2" t="inlineStr">
        <is>
          <t>EV/Revenue (LTM)</t>
        </is>
      </c>
      <c r="B24" s="26" t="n">
        <v>3.11038961038961</v>
      </c>
      <c r="C24" s="26" t="n">
        <v>9.199999999999999</v>
      </c>
      <c r="D24" s="26" t="n">
        <v>13.33333333333333</v>
      </c>
      <c r="E24" s="23" t="n">
        <v>95.15074211502784</v>
      </c>
      <c r="F24" s="23" t="n">
        <v>419.1815476190476</v>
      </c>
      <c r="G24" s="23" t="n">
        <v>257.1661448670377</v>
      </c>
    </row>
    <row r="25">
      <c r="A25" s="2" t="inlineStr">
        <is>
          <t>EV/EBITDA (LTM)</t>
        </is>
      </c>
      <c r="B25" s="26" t="n">
        <v>15.07422680412371</v>
      </c>
      <c r="C25" s="26" t="n">
        <v>21.42857142857143</v>
      </c>
      <c r="D25" s="26" t="n">
        <v>33.90581840862514</v>
      </c>
      <c r="E25" s="23" t="n">
        <v>210.6972754050074</v>
      </c>
      <c r="F25" s="23" t="n">
        <v>478.2067597153804</v>
      </c>
      <c r="G25" s="23" t="n">
        <v>344.4520175601939</v>
      </c>
    </row>
    <row r="26">
      <c r="A26" s="2" t="inlineStr">
        <is>
          <t>Forward P/E</t>
        </is>
      </c>
    </row>
    <row r="27">
      <c r="A27" s="2" t="inlineStr">
        <is>
          <t>P/E (LTM)</t>
        </is>
      </c>
      <c r="B27" s="26" t="n">
        <v>42.79269602577873</v>
      </c>
      <c r="C27" s="26" t="n">
        <v>54.16666666666667</v>
      </c>
      <c r="D27" s="26" t="n">
        <v>84.18010752688173</v>
      </c>
      <c r="E27" s="23" t="n">
        <v>276.0128893662728</v>
      </c>
      <c r="F27" s="23" t="n">
        <v>542.9616935483872</v>
      </c>
      <c r="G27" s="23" t="n">
        <v>409.48729145733</v>
      </c>
    </row>
    <row r="28">
      <c r="A28" s="2" t="inlineStr">
        <is>
          <t>P/B</t>
        </is>
      </c>
      <c r="B28" s="26" t="n">
        <v>3.5</v>
      </c>
      <c r="C28" s="26" t="n">
        <v>8.181818181818182</v>
      </c>
      <c r="D28" s="26" t="n">
        <v>12.97619047619048</v>
      </c>
      <c r="E28" s="23" t="n">
        <v>135</v>
      </c>
      <c r="F28" s="23" t="n">
        <v>509.8171768707484</v>
      </c>
      <c r="G28" s="23" t="n">
        <v>322.4085884353742</v>
      </c>
    </row>
  </sheetData>
  <mergeCells count="3">
    <mergeCell ref="A13:H13"/>
    <mergeCell ref="A22:G22"/>
    <mergeCell ref="A1:M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7109375" customWidth="1" min="1" max="1"/>
    <col width="12.7109375" customWidth="1" min="2" max="26"/>
  </cols>
  <sheetData>
    <row r="1">
      <c r="A1" s="11" t="inlineStr">
        <is>
          <t>Sensitivity Tables</t>
        </is>
      </c>
      <c r="B1" s="27" t="n"/>
      <c r="C1" s="27" t="n"/>
      <c r="D1" s="27" t="n"/>
      <c r="E1" s="27" t="n"/>
      <c r="F1" s="27" t="n"/>
      <c r="G1" s="22" t="n"/>
    </row>
    <row r="3">
      <c r="A3" s="4" t="inlineStr">
        <is>
          <t>DCF — Implied Price (WACC × Terminal Growth)</t>
        </is>
      </c>
      <c r="B3" s="27" t="n"/>
      <c r="C3" s="27" t="n"/>
      <c r="D3" s="27" t="n"/>
      <c r="E3" s="27" t="n"/>
      <c r="F3" s="22" t="n"/>
    </row>
    <row r="4">
      <c r="A4" s="16" t="inlineStr">
        <is>
          <t>WACC \ Terminal g</t>
        </is>
      </c>
      <c r="B4" s="16" t="inlineStr">
        <is>
          <t>2.50%</t>
        </is>
      </c>
      <c r="C4" s="16" t="inlineStr">
        <is>
          <t>2.75%</t>
        </is>
      </c>
      <c r="D4" s="16" t="inlineStr">
        <is>
          <t>3.00%</t>
        </is>
      </c>
      <c r="E4" s="16" t="inlineStr">
        <is>
          <t>3.25%</t>
        </is>
      </c>
      <c r="F4" s="16" t="inlineStr">
        <is>
          <t>3.50%</t>
        </is>
      </c>
    </row>
    <row r="5">
      <c r="A5" s="2" t="inlineStr">
        <is>
          <t>9.36%</t>
        </is>
      </c>
      <c r="B5" s="23" t="n">
        <v>121.6564365112369</v>
      </c>
      <c r="C5" s="23" t="n">
        <v>122.860942163344</v>
      </c>
      <c r="D5" s="23" t="n">
        <v>124.160204231017</v>
      </c>
      <c r="E5" s="23" t="n">
        <v>125.5658620263321</v>
      </c>
      <c r="F5" s="23" t="n">
        <v>127.0915425166943</v>
      </c>
    </row>
    <row r="6">
      <c r="A6" s="2" t="inlineStr">
        <is>
          <t>9.86%</t>
        </is>
      </c>
      <c r="B6" s="23" t="n">
        <v>117.2721415661201</v>
      </c>
      <c r="C6" s="23" t="n">
        <v>118.2992479269826</v>
      </c>
      <c r="D6" s="23" t="n">
        <v>119.4012621294436</v>
      </c>
      <c r="E6" s="23" t="n">
        <v>120.586688954332</v>
      </c>
      <c r="F6" s="23" t="n">
        <v>121.8653712958263</v>
      </c>
    </row>
    <row r="7">
      <c r="A7" s="2" t="inlineStr">
        <is>
          <t>10.36%</t>
        </is>
      </c>
      <c r="B7" s="23" t="n">
        <v>113.2741569394187</v>
      </c>
      <c r="C7" s="23" t="n">
        <v>114.1584992182609</v>
      </c>
      <c r="D7" s="23" t="n">
        <v>115.1029534005564</v>
      </c>
      <c r="E7" s="23" t="n">
        <v>116.1138641522948</v>
      </c>
      <c r="F7" s="23" t="n">
        <v>117.1985015844891</v>
      </c>
    </row>
    <row r="8">
      <c r="A8" s="2" t="inlineStr">
        <is>
          <t>10.86%</t>
        </is>
      </c>
      <c r="B8" s="23" t="n">
        <v>109.599290256153</v>
      </c>
      <c r="C8" s="23" t="n">
        <v>110.3671826892031</v>
      </c>
      <c r="D8" s="23" t="n">
        <v>111.1839493574075</v>
      </c>
      <c r="E8" s="23" t="n">
        <v>112.0544096980859</v>
      </c>
      <c r="F8" s="23" t="n">
        <v>112.9840383372959</v>
      </c>
    </row>
    <row r="9">
      <c r="A9" s="2" t="inlineStr">
        <is>
          <t>11.36%</t>
        </is>
      </c>
      <c r="B9" s="23" t="n">
        <v>106.1983928427502</v>
      </c>
      <c r="C9" s="23" t="n">
        <v>106.8701693051394</v>
      </c>
      <c r="D9" s="23" t="n">
        <v>107.5821439808886</v>
      </c>
      <c r="E9" s="23" t="n">
        <v>108.3380362635211</v>
      </c>
      <c r="F9" s="23" t="n">
        <v>109.142039004836</v>
      </c>
    </row>
    <row r="12">
      <c r="A12" s="4" t="inlineStr">
        <is>
          <t>LBO — Sponsor IRR (Entry × Exit)</t>
        </is>
      </c>
      <c r="B12" s="27" t="n"/>
      <c r="C12" s="27" t="n"/>
      <c r="D12" s="27" t="n"/>
      <c r="E12" s="27" t="n"/>
      <c r="F12" s="22" t="n"/>
    </row>
    <row r="13">
      <c r="A13" s="16" t="inlineStr">
        <is>
          <t>Entry × Exit</t>
        </is>
      </c>
      <c r="B13" s="16" t="inlineStr">
        <is>
          <t>9.0x</t>
        </is>
      </c>
      <c r="C13" s="16" t="inlineStr">
        <is>
          <t>9.5x</t>
        </is>
      </c>
      <c r="D13" s="16" t="inlineStr">
        <is>
          <t>10.0x</t>
        </is>
      </c>
      <c r="E13" s="16" t="inlineStr">
        <is>
          <t>10.5x</t>
        </is>
      </c>
      <c r="F13" s="16" t="inlineStr">
        <is>
          <t>11.0x</t>
        </is>
      </c>
    </row>
    <row r="14">
      <c r="A14" s="2" t="inlineStr">
        <is>
          <t>10.0x</t>
        </is>
      </c>
      <c r="B14" s="3" t="n">
        <v>0.09044783702196944</v>
      </c>
      <c r="C14" s="3" t="n">
        <v>0.1070127393926344</v>
      </c>
      <c r="D14" s="3" t="n">
        <v>0.1226416857907836</v>
      </c>
      <c r="E14" s="3" t="n">
        <v>0.1374458634157695</v>
      </c>
      <c r="F14" s="3" t="n">
        <v>0.1515171775728777</v>
      </c>
    </row>
    <row r="15">
      <c r="A15" s="2" t="inlineStr">
        <is>
          <t>10.5x</t>
        </is>
      </c>
      <c r="B15" s="3" t="n">
        <v>0.07287612798507948</v>
      </c>
      <c r="C15" s="3" t="n">
        <v>0.08917409998567105</v>
      </c>
      <c r="D15" s="3" t="n">
        <v>0.1045511982079265</v>
      </c>
      <c r="E15" s="3" t="n">
        <v>0.1191168181569512</v>
      </c>
      <c r="F15" s="3" t="n">
        <v>0.1329613841563387</v>
      </c>
    </row>
    <row r="16">
      <c r="A16" s="2" t="inlineStr">
        <is>
          <t>11.0x</t>
        </is>
      </c>
      <c r="B16" s="3" t="n">
        <v>0.05687724931140902</v>
      </c>
      <c r="C16" s="3" t="n">
        <v>0.07293218367712118</v>
      </c>
      <c r="D16" s="3" t="n">
        <v>0.08807997646290178</v>
      </c>
      <c r="E16" s="3" t="n">
        <v>0.1024283918528047</v>
      </c>
      <c r="F16" s="3" t="n">
        <v>0.1160665057502801</v>
      </c>
    </row>
    <row r="17">
      <c r="A17" s="2" t="inlineStr">
        <is>
          <t>11.5x</t>
        </is>
      </c>
      <c r="B17" s="3" t="n">
        <v>0.04221093783635298</v>
      </c>
      <c r="C17" s="3" t="n">
        <v>0.05804307748463461</v>
      </c>
      <c r="D17" s="3" t="n">
        <v>0.07298066397890823</v>
      </c>
      <c r="E17" s="3" t="n">
        <v>0.08712996605700607</v>
      </c>
      <c r="F17" s="3" t="n">
        <v>0.1005788235138845</v>
      </c>
    </row>
    <row r="18">
      <c r="A18" s="2" t="inlineStr">
        <is>
          <t>12.0x</t>
        </is>
      </c>
      <c r="B18" s="3" t="n">
        <v>0.02868686328651171</v>
      </c>
      <c r="C18" s="3" t="n">
        <v>0.04431355984346352</v>
      </c>
      <c r="D18" s="3" t="n">
        <v>0.05905731126461589</v>
      </c>
      <c r="E18" s="3" t="n">
        <v>0.07302300730943834</v>
      </c>
      <c r="F18" s="3" t="n">
        <v>0.08629734793459487</v>
      </c>
    </row>
    <row r="21">
      <c r="A21" s="4" t="inlineStr">
        <is>
          <t>M&amp;A — Y1 Accretion (Premium × Cost-Synergy)</t>
        </is>
      </c>
      <c r="B21" s="27" t="n"/>
      <c r="C21" s="27" t="n"/>
      <c r="D21" s="27" t="n"/>
      <c r="E21" s="27" t="n"/>
      <c r="F21" s="22" t="n"/>
    </row>
    <row r="22">
      <c r="A22" s="16" t="inlineStr">
        <is>
          <t>Premium \ Cost Synergy %</t>
        </is>
      </c>
      <c r="B22" s="16" t="inlineStr">
        <is>
          <t>3.0%</t>
        </is>
      </c>
      <c r="C22" s="16" t="inlineStr">
        <is>
          <t>4.0%</t>
        </is>
      </c>
      <c r="D22" s="16" t="inlineStr">
        <is>
          <t>5.0%</t>
        </is>
      </c>
      <c r="E22" s="16" t="inlineStr">
        <is>
          <t>6.0%</t>
        </is>
      </c>
      <c r="F22" s="16" t="inlineStr">
        <is>
          <t>7.0%</t>
        </is>
      </c>
    </row>
    <row r="23">
      <c r="A23" s="2" t="inlineStr">
        <is>
          <t>20%</t>
        </is>
      </c>
      <c r="B23" s="3" t="n">
        <v>-0.0326339586071358</v>
      </c>
      <c r="C23" s="3" t="n">
        <v>-0.02382886575500842</v>
      </c>
      <c r="D23" s="3" t="n">
        <v>-0.01502377290288126</v>
      </c>
      <c r="E23" s="3" t="n">
        <v>-0.006218680050753878</v>
      </c>
      <c r="F23" s="3" t="n">
        <v>0.002586412801373505</v>
      </c>
    </row>
    <row r="24">
      <c r="A24" s="2" t="inlineStr">
        <is>
          <t>25%</t>
        </is>
      </c>
      <c r="B24" s="3" t="n">
        <v>-0.03788868072139984</v>
      </c>
      <c r="C24" s="3" t="n">
        <v>-0.02913068601666924</v>
      </c>
      <c r="D24" s="3" t="n">
        <v>-0.02037269131193875</v>
      </c>
      <c r="E24" s="3" t="n">
        <v>-0.01161469660720815</v>
      </c>
      <c r="F24" s="3" t="n">
        <v>-0.002856701902477776</v>
      </c>
    </row>
    <row r="25">
      <c r="A25" s="2" t="inlineStr">
        <is>
          <t>30%</t>
        </is>
      </c>
      <c r="B25" s="3" t="n">
        <v>-0.04308748726025879</v>
      </c>
      <c r="C25" s="3" t="n">
        <v>-0.03437608953084503</v>
      </c>
      <c r="D25" s="3" t="n">
        <v>-0.02566469180143127</v>
      </c>
      <c r="E25" s="3" t="n">
        <v>-0.01695329407201751</v>
      </c>
      <c r="F25" s="3" t="n">
        <v>-0.008241896342603749</v>
      </c>
    </row>
    <row r="26">
      <c r="A26" s="2" t="inlineStr">
        <is>
          <t>35%</t>
        </is>
      </c>
      <c r="B26" s="3" t="n">
        <v>-0.0482312659979952</v>
      </c>
      <c r="C26" s="3" t="n">
        <v>-0.03956597202895118</v>
      </c>
      <c r="D26" s="3" t="n">
        <v>-0.03090067805990737</v>
      </c>
      <c r="E26" s="3" t="n">
        <v>-0.02223538409086356</v>
      </c>
      <c r="F26" s="3" t="n">
        <v>-0.01357009012181953</v>
      </c>
    </row>
    <row r="27">
      <c r="A27" s="2" t="inlineStr">
        <is>
          <t>40%</t>
        </is>
      </c>
      <c r="B27" s="3" t="n">
        <v>-0.05332088601418361</v>
      </c>
      <c r="C27" s="3" t="n">
        <v>-0.04470121038013497</v>
      </c>
      <c r="D27" s="3" t="n">
        <v>-0.03608153474608644</v>
      </c>
      <c r="E27" s="3" t="n">
        <v>-0.02746185911203802</v>
      </c>
      <c r="F27" s="3" t="n">
        <v>-0.01884218347798949</v>
      </c>
    </row>
  </sheetData>
  <mergeCells count="4">
    <mergeCell ref="A3:F3"/>
    <mergeCell ref="A21:F21"/>
    <mergeCell ref="A1:G1"/>
    <mergeCell ref="A12:F1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2.7109375" customWidth="1" min="1" max="1"/>
    <col width="16.7109375" customWidth="1" min="2" max="5"/>
  </cols>
  <sheetData>
    <row r="1">
      <c r="A1" s="11" t="inlineStr">
        <is>
          <t>Football Field — Implied Equity Value Range</t>
        </is>
      </c>
      <c r="B1" s="27" t="n"/>
      <c r="C1" s="27" t="n"/>
      <c r="D1" s="27" t="n"/>
      <c r="E1" s="27" t="n"/>
      <c r="F1" s="22" t="n"/>
    </row>
    <row r="3">
      <c r="A3" s="16" t="inlineStr">
        <is>
          <t>Method</t>
        </is>
      </c>
      <c r="B3" s="16" t="inlineStr">
        <is>
          <t>Low</t>
        </is>
      </c>
      <c r="C3" s="16" t="inlineStr">
        <is>
          <t>Mid</t>
        </is>
      </c>
      <c r="D3" s="16" t="inlineStr">
        <is>
          <t>High</t>
        </is>
      </c>
      <c r="E3" s="16" t="inlineStr">
        <is>
          <t>vs Current</t>
        </is>
      </c>
      <c r="F3" s="16" t="inlineStr">
        <is>
          <t>Source</t>
        </is>
      </c>
    </row>
    <row r="5">
      <c r="A5" s="2" t="inlineStr">
        <is>
          <t>52-Week Trading Range</t>
        </is>
      </c>
      <c r="B5" s="23" t="n">
        <v>56.34361163940462</v>
      </c>
      <c r="C5" s="23" t="n">
        <v>92.11525133244834</v>
      </c>
      <c r="D5" s="23" t="n">
        <v>127.8868910254921</v>
      </c>
      <c r="E5" s="3" t="n">
        <v>-0.1506200891429383</v>
      </c>
      <c r="F5" s="10" t="inlineStr">
        <is>
          <t>Trading history (last 252 days)</t>
        </is>
      </c>
    </row>
    <row r="6">
      <c r="A6" s="2" t="inlineStr">
        <is>
          <t>DCF (WACC ±100bps)</t>
        </is>
      </c>
      <c r="B6" s="23" t="n">
        <v>125.4152364272577</v>
      </c>
      <c r="C6" s="23" t="n">
        <v>133.6748472446264</v>
      </c>
      <c r="D6" s="23" t="n">
        <v>143.5086549056367</v>
      </c>
      <c r="E6" s="3" t="n">
        <v>0.2325942576729034</v>
      </c>
      <c r="F6" s="10" t="inlineStr">
        <is>
          <t>WACC sensitivity: 9.4% → 11.4%</t>
        </is>
      </c>
    </row>
    <row r="7">
      <c r="A7" s="2" t="inlineStr">
        <is>
          <t>Comps EV/EBITDA (p25 / median / p75)</t>
        </is>
      </c>
      <c r="B7" s="23" t="n">
        <v>210.6972754050074</v>
      </c>
      <c r="C7" s="23" t="n">
        <v>344.4520175601939</v>
      </c>
      <c r="D7" s="23" t="n">
        <v>478.2067597153804</v>
      </c>
      <c r="E7" s="3" t="n">
        <v>2.176136630338348</v>
      </c>
      <c r="F7" s="10" t="inlineStr">
        <is>
          <t>Peer median × subject EBITDA, p25/p75 bands</t>
        </is>
      </c>
    </row>
    <row r="8">
      <c r="A8" s="2" t="inlineStr">
        <is>
          <t>Comps P/E (p25 / median / p75)</t>
        </is>
      </c>
      <c r="B8" s="23" t="n">
        <v>276.0128893662728</v>
      </c>
      <c r="C8" s="23" t="n">
        <v>409.48729145733</v>
      </c>
      <c r="D8" s="23" t="n">
        <v>542.9616935483872</v>
      </c>
      <c r="E8" s="3" t="n">
        <v>2.775816426531397</v>
      </c>
      <c r="F8" s="10" t="inlineStr">
        <is>
          <t>Peer median × subject EPS</t>
        </is>
      </c>
    </row>
    <row r="9">
      <c r="A9" s="2" t="inlineStr">
        <is>
          <t>LBO (sponsor IRR 25% → 15%)</t>
        </is>
      </c>
      <c r="B9" s="23" t="n">
        <v>146.5696945664155</v>
      </c>
      <c r="C9" s="23" t="n">
        <v>162.116005886703</v>
      </c>
      <c r="D9" s="23" t="n">
        <v>182.0836466150662</v>
      </c>
      <c r="E9" s="3" t="n">
        <v>0.4948456052254768</v>
      </c>
      <c r="F9" s="10" t="inlineStr">
        <is>
          <t>Implied take-private price at sponsor IRR brackets</t>
        </is>
      </c>
    </row>
    <row r="11">
      <c r="A11" s="19" t="inlineStr">
        <is>
          <t>Current price</t>
        </is>
      </c>
      <c r="B11" s="23">
        <f>ib_px</f>
        <v/>
      </c>
    </row>
  </sheetData>
  <mergeCells count="1">
    <mergeCell ref="A1:F1"/>
  </mergeCell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35" t="inlineStr">
        <is>
          <t>Reverse-DCF — what does today's price require? (MU)</t>
        </is>
      </c>
    </row>
    <row r="3">
      <c r="A3" s="36" t="inlineStr">
        <is>
          <t>Headline implied assumptions</t>
        </is>
      </c>
    </row>
    <row r="4">
      <c r="A4" s="37" t="inlineStr">
        <is>
          <t>Current Enterprise Value</t>
        </is>
      </c>
      <c r="B4" s="38" t="n">
        <v>125350000000</v>
      </c>
    </row>
    <row r="5">
      <c r="A5" s="37" t="inlineStr">
        <is>
          <t>Current Share Price</t>
        </is>
      </c>
      <c r="B5" s="39" t="n">
        <v>108.45</v>
      </c>
    </row>
    <row r="7">
      <c r="A7" s="37" t="inlineStr">
        <is>
          <t>Implied perpetual growth rate</t>
        </is>
      </c>
      <c r="B7" s="40" t="n">
        <v>-0.05</v>
      </c>
    </row>
    <row r="8">
      <c r="A8" s="37" t="inlineStr">
        <is>
          <t>Preset growth assumption</t>
        </is>
      </c>
      <c r="B8" s="34" t="n">
        <v>0.03</v>
      </c>
    </row>
    <row r="9">
      <c r="A9" s="37" t="inlineStr">
        <is>
          <t>Spread vs preset (bps)</t>
        </is>
      </c>
      <c r="B9" s="41" t="n">
        <v>-800</v>
      </c>
    </row>
    <row r="11">
      <c r="A11" s="37" t="inlineStr">
        <is>
          <t>Implied EBITDA margin (g held at preset)</t>
        </is>
      </c>
      <c r="B11" s="42" t="n">
        <v>0.4239055109020322</v>
      </c>
    </row>
    <row r="13">
      <c r="A13" s="36" t="inlineStr">
        <is>
          <t>Interpretation</t>
        </is>
      </c>
    </row>
    <row r="14" ht="60" customHeight="1">
      <c r="A14" s="43" t="inlineStr">
        <is>
          <t>Market implies NEGATIVE long-term growth — i.e., the company shrinks in perpetuity. Either market is wrong or the cash-flow profile is structurally challenged.</t>
        </is>
      </c>
    </row>
    <row r="17">
      <c r="A17" s="36" t="inlineStr">
        <is>
          <t>Joint sensitivity grid: EV implied / Current EV</t>
        </is>
      </c>
    </row>
    <row r="18" ht="32" customHeight="1">
      <c r="A18" s="43" t="inlineStr">
        <is>
          <t>Each cell = model EV at (margin, growth) ÷ current EV. Cells near 1.0 = where the market sits. Far above = model says cheap; far below = model says expensive.</t>
        </is>
      </c>
    </row>
    <row r="20">
      <c r="A20" s="44" t="inlineStr">
        <is>
          <t>EBITDA Margin \ Terminal g</t>
        </is>
      </c>
      <c r="B20" s="45" t="inlineStr">
        <is>
          <t>-1.0%</t>
        </is>
      </c>
      <c r="C20" s="45" t="inlineStr">
        <is>
          <t>0.0%</t>
        </is>
      </c>
      <c r="D20" s="45" t="inlineStr">
        <is>
          <t>1.5%</t>
        </is>
      </c>
      <c r="E20" s="45" t="inlineStr">
        <is>
          <t>2.5%</t>
        </is>
      </c>
      <c r="F20" s="45" t="inlineStr">
        <is>
          <t>3.5%</t>
        </is>
      </c>
      <c r="G20" s="45" t="inlineStr">
        <is>
          <t>4.5%</t>
        </is>
      </c>
    </row>
    <row r="21">
      <c r="A21" s="37" t="inlineStr">
        <is>
          <t>20%</t>
        </is>
      </c>
      <c r="B21" s="46" t="n">
        <v>-0.113456487900994</v>
      </c>
      <c r="C21" s="46" t="n">
        <v>-0.1350958129882444</v>
      </c>
      <c r="D21" s="46" t="n">
        <v>-0.1767179998639723</v>
      </c>
      <c r="E21" s="46" t="n">
        <v>-0.2132965812553941</v>
      </c>
      <c r="F21" s="46" t="n">
        <v>-0.2605460036958199</v>
      </c>
      <c r="G21" s="46" t="n">
        <v>-0.3239330723451754</v>
      </c>
    </row>
    <row r="22">
      <c r="A22" s="37" t="inlineStr">
        <is>
          <t>30%</t>
        </is>
      </c>
      <c r="B22" s="46" t="n">
        <v>0.3580573343936139</v>
      </c>
      <c r="C22" s="46" t="n">
        <v>0.3506594948462157</v>
      </c>
      <c r="D22" s="46" t="n">
        <v>0.3364301111257464</v>
      </c>
      <c r="E22" s="46" t="n">
        <v>0.3239249856232592</v>
      </c>
      <c r="F22" s="46" t="n">
        <v>0.307771817975371</v>
      </c>
      <c r="G22" s="46" t="n">
        <v>0.2861016706229409</v>
      </c>
    </row>
    <row r="23">
      <c r="A23" s="37" t="inlineStr">
        <is>
          <t>35%</t>
        </is>
      </c>
      <c r="B23" s="46" t="n">
        <v>0.593814245540918</v>
      </c>
      <c r="C23" s="46" t="n">
        <v>0.5935371487634459</v>
      </c>
      <c r="D23" s="46" t="n">
        <v>0.593004166620606</v>
      </c>
      <c r="E23" s="46" t="n">
        <v>0.592535769062586</v>
      </c>
      <c r="F23" s="46" t="n">
        <v>0.5919307288109664</v>
      </c>
      <c r="G23" s="46" t="n">
        <v>0.5911190421069991</v>
      </c>
    </row>
    <row r="24">
      <c r="A24" s="37" t="inlineStr">
        <is>
          <t>40%</t>
        </is>
      </c>
      <c r="B24" s="47" t="n">
        <v>0.8295711566882222</v>
      </c>
      <c r="C24" s="47" t="n">
        <v>0.836414802680676</v>
      </c>
      <c r="D24" s="47" t="n">
        <v>0.8495782221154655</v>
      </c>
      <c r="E24" s="47" t="n">
        <v>0.8611465525019127</v>
      </c>
      <c r="F24" s="47" t="n">
        <v>0.8760896396465621</v>
      </c>
      <c r="G24" s="47" t="n">
        <v>0.8961364135910574</v>
      </c>
    </row>
    <row r="25">
      <c r="A25" s="37" t="inlineStr">
        <is>
          <t>45%</t>
        </is>
      </c>
      <c r="B25" s="47" t="n">
        <v>1.065328067835526</v>
      </c>
      <c r="C25" s="47" t="n">
        <v>1.079292456597906</v>
      </c>
      <c r="D25" s="47" t="n">
        <v>1.106152277610325</v>
      </c>
      <c r="E25" s="47" t="n">
        <v>1.12975733594124</v>
      </c>
      <c r="F25" s="47" t="n">
        <v>1.160248550482158</v>
      </c>
      <c r="G25" s="48" t="n">
        <v>1.201153785075116</v>
      </c>
    </row>
    <row r="26">
      <c r="A26" s="37" t="inlineStr">
        <is>
          <t>50%</t>
        </is>
      </c>
      <c r="B26" s="48" t="n">
        <v>1.30108497898283</v>
      </c>
      <c r="C26" s="48" t="n">
        <v>1.322170110515136</v>
      </c>
      <c r="D26" s="48" t="n">
        <v>1.362726333105184</v>
      </c>
      <c r="E26" s="48" t="n">
        <v>1.398368119380566</v>
      </c>
      <c r="F26" s="48" t="n">
        <v>1.444407461317753</v>
      </c>
      <c r="G26" s="48" t="n">
        <v>1.506171156559174</v>
      </c>
    </row>
  </sheetData>
  <mergeCells count="6">
    <mergeCell ref="A18:H18"/>
    <mergeCell ref="A13:H13"/>
    <mergeCell ref="A14:H14"/>
    <mergeCell ref="A1:H1"/>
    <mergeCell ref="A3:B3"/>
    <mergeCell ref="A17:H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5" t="inlineStr">
        <is>
          <t>Reverse-LBO — max entry multiple at target sponsor IRR (MU)</t>
        </is>
      </c>
    </row>
    <row r="3">
      <c r="A3" s="36" t="inlineStr">
        <is>
          <t>Take-private price ceiling by IRR target</t>
        </is>
      </c>
    </row>
    <row r="4" ht="48" customHeight="1">
      <c r="A4" s="43" t="inlineStr">
        <is>
          <t>Solves bisection for the highest entry multiple at which the sponsor still hits target IRR, given preset exit and leverage. Premium &gt; 0 means the deal still works at a premium to current market.</t>
        </is>
      </c>
    </row>
    <row r="6">
      <c r="A6" s="45" t="inlineStr">
        <is>
          <t>Target IRR</t>
        </is>
      </c>
      <c r="B6" s="45" t="inlineStr">
        <is>
          <t>Max Entry Multiple</t>
        </is>
      </c>
      <c r="C6" s="45" t="inlineStr">
        <is>
          <t>Implied $/Share</t>
        </is>
      </c>
      <c r="D6" s="45" t="inlineStr">
        <is>
          <t>Premium to Market</t>
        </is>
      </c>
      <c r="E6" s="45" t="inlineStr">
        <is>
          <t>Read</t>
        </is>
      </c>
    </row>
    <row r="7">
      <c r="A7" s="37" t="inlineStr">
        <is>
          <t>15%</t>
        </is>
      </c>
      <c r="B7" s="26" t="n">
        <v>9.329791047174947</v>
      </c>
      <c r="C7" s="39" t="n">
        <v>182.0836466151797</v>
      </c>
      <c r="D7" s="49" t="n">
        <v>0.678964007516641</v>
      </c>
      <c r="E7" s="50" t="inlineStr">
        <is>
          <t>PE could pay +68% premium</t>
        </is>
      </c>
    </row>
    <row r="8">
      <c r="A8" s="37" t="inlineStr">
        <is>
          <t>20%</t>
        </is>
      </c>
      <c r="B8" s="26" t="n">
        <v>8.3256256509341</v>
      </c>
      <c r="C8" s="39" t="n">
        <v>162.116005886688</v>
      </c>
      <c r="D8" s="49" t="n">
        <v>0.4948456052253387</v>
      </c>
      <c r="E8" s="50" t="inlineStr">
        <is>
          <t>PE could pay +49% premium</t>
        </is>
      </c>
    </row>
    <row r="9">
      <c r="A9" s="37" t="inlineStr">
        <is>
          <t>25%</t>
        </is>
      </c>
      <c r="B9" s="26" t="n">
        <v>7.543807303970453</v>
      </c>
      <c r="C9" s="39" t="n">
        <v>146.5696945663075</v>
      </c>
      <c r="D9" s="49" t="n">
        <v>0.3514955699982252</v>
      </c>
      <c r="E9" s="50" t="inlineStr">
        <is>
          <t>PE could pay +35% premium</t>
        </is>
      </c>
    </row>
    <row r="10">
      <c r="A10" s="37" t="inlineStr">
        <is>
          <t>30%</t>
        </is>
      </c>
      <c r="B10" s="26" t="n">
        <v>6.928964755875908</v>
      </c>
      <c r="C10" s="39" t="n">
        <v>134.3436657159789</v>
      </c>
      <c r="D10" s="49" t="n">
        <v>0.238761325181917</v>
      </c>
      <c r="E10" s="50" t="inlineStr">
        <is>
          <t>PE could pay +24% premium</t>
        </is>
      </c>
    </row>
    <row r="13">
      <c r="A13" s="36" t="inlineStr">
        <is>
          <t>How to use</t>
        </is>
      </c>
    </row>
    <row r="14" ht="70" customHeight="1">
      <c r="A14" s="43" t="inlineStr">
        <is>
          <t>Compare Implied $/Share at 20% IRR (PE base case) vs current market. If take-private &gt; current → public market is paying LESS than a sponsor would. If take-private &lt; current → public is paying MORE; sponsor wouldn't bid. Useful framework even outside actual buyout situations — tells you where 'patient capital' would step in.</t>
        </is>
      </c>
    </row>
  </sheetData>
  <mergeCells count="5">
    <mergeCell ref="A4:E4"/>
    <mergeCell ref="A1:E1"/>
    <mergeCell ref="A13:E13"/>
    <mergeCell ref="A14:E14"/>
    <mergeCell ref="A3:E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7109375" customWidth="1" min="1" max="1"/>
    <col width="22.7109375" customWidth="1" min="2" max="2"/>
    <col width="90.7109375" customWidth="1" min="3" max="3"/>
  </cols>
  <sheetData>
    <row r="1">
      <c r="A1" s="11" t="inlineStr">
        <is>
          <t>Sanity Checks — auto-flagged issues</t>
        </is>
      </c>
      <c r="B1" s="27" t="n"/>
      <c r="C1" s="22" t="n"/>
    </row>
    <row r="3">
      <c r="A3" s="16" t="inlineStr">
        <is>
          <t>Level</t>
        </is>
      </c>
      <c r="B3" s="16" t="inlineStr">
        <is>
          <t>Area</t>
        </is>
      </c>
      <c r="C3" s="16" t="inlineStr">
        <is>
          <t>Message</t>
        </is>
      </c>
    </row>
    <row r="5">
      <c r="A5" s="9" t="inlineStr">
        <is>
          <t>WARN</t>
        </is>
      </c>
      <c r="B5" s="2" t="inlineStr">
        <is>
          <t>DCF</t>
        </is>
      </c>
      <c r="C5" s="10" t="inlineStr">
        <is>
          <t>Terminal value = 87% of EV (target &lt;80%). DCF is essentially a perpetuity — explicit forecast doing little work.</t>
        </is>
      </c>
    </row>
    <row r="6">
      <c r="A6" s="9" t="inlineStr">
        <is>
          <t>WARN</t>
        </is>
      </c>
      <c r="B6" s="2" t="inlineStr">
        <is>
          <t>LBO</t>
        </is>
      </c>
      <c r="C6" s="10" t="inlineStr">
        <is>
          <t>Sponsor IRR 8.8% &lt; typical 20%+ PE target. Either entry too rich, exit too low, or hold too short.</t>
        </is>
      </c>
    </row>
    <row r="7">
      <c r="A7" s="21" t="inlineStr">
        <is>
          <t>INFO</t>
        </is>
      </c>
      <c r="B7" s="2" t="inlineStr">
        <is>
          <t>Data</t>
        </is>
      </c>
      <c r="C7" s="10" t="inlineStr">
        <is>
          <t>19 fallback / imputation note(s) — see Notes tab.</t>
        </is>
      </c>
    </row>
  </sheetData>
  <mergeCells count="1">
    <mergeCell ref="A1:C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265"/>
  <sheetViews>
    <sheetView workbookViewId="0">
      <selection activeCell="A1" sqref="A1"/>
    </sheetView>
  </sheetViews>
  <sheetFormatPr baseColWidth="8" defaultRowHeight="15"/>
  <cols>
    <col width="100.7109375" customWidth="1" min="1" max="1"/>
  </cols>
  <sheetData>
    <row r="1">
      <c r="A1" s="11" t="inlineStr">
        <is>
          <t>Audit Trail</t>
        </is>
      </c>
    </row>
    <row r="2">
      <c r="A2" s="10" t="inlineStr">
        <is>
          <t>Every fallback or imputation used by the model is logged below.</t>
        </is>
      </c>
    </row>
    <row r="4">
      <c r="A4" s="10" t="inlineStr">
        <is>
          <t>[16:55:26] EBITDA margin set via peak_half of trailing 5y (values: [48.7, 44.3, -12.5, 34.6, 46.5]) → 46.5%.</t>
        </is>
      </c>
    </row>
    <row r="5">
      <c r="A5" s="10" t="inlineStr">
        <is>
          <t>[16:55:26] ⚠ Terminal value = 87% of EV (target &lt;80%). Consider longer explicit forecast or lower terminal growth.</t>
        </is>
      </c>
    </row>
    <row r="6">
      <c r="A6" s="10" t="inlineStr">
        <is>
          <t>[16:55:26] ⚠ Terminal value = 86% of EV (target &lt;80%). Consider longer explicit forecast or lower terminal growth.</t>
        </is>
      </c>
    </row>
    <row r="7">
      <c r="A7" s="10" t="inlineStr">
        <is>
          <t>[16:55:26] ⚠ Terminal value = 86% of EV (target &lt;80%). Consider longer explicit forecast or lower terminal growth.</t>
        </is>
      </c>
    </row>
    <row r="8">
      <c r="A8" s="10" t="inlineStr">
        <is>
          <t>[16:55:26] ⚠ Terminal value = 86% of EV (target &lt;80%). Consider longer explicit forecast or lower terminal growth.</t>
        </is>
      </c>
    </row>
    <row r="9">
      <c r="A9" s="10" t="inlineStr">
        <is>
          <t>[16:55:26] ⚠ Terminal value = 86% of EV (target &lt;80%). Consider longer explicit forecast or lower terminal growth.</t>
        </is>
      </c>
    </row>
    <row r="10">
      <c r="A10" s="10" t="inlineStr">
        <is>
          <t>[16:55:26] ⚠ Terminal value = 86% of EV (target &lt;80%). Consider longer explicit forecast or lower terminal growth.</t>
        </is>
      </c>
    </row>
    <row r="11">
      <c r="A11" s="10" t="inlineStr">
        <is>
          <t>[16:55:26] ⚠ Terminal value = 85% of EV (target &lt;80%). Consider longer explicit forecast or lower terminal growth.</t>
        </is>
      </c>
    </row>
    <row r="12">
      <c r="A12" s="10" t="inlineStr">
        <is>
          <t>[16:55:26] ⚠ Terminal value = 86% of EV (target &lt;80%). Consider longer explicit forecast or lower terminal growth.</t>
        </is>
      </c>
    </row>
    <row r="13">
      <c r="A13" s="10" t="inlineStr">
        <is>
          <t>[16:55:26] ⚠ Terminal value = 86% of EV (target &lt;80%). Consider longer explicit forecast or lower terminal growth.</t>
        </is>
      </c>
    </row>
    <row r="14">
      <c r="A14" s="10" t="inlineStr">
        <is>
          <t>[16:55:26] ⚠ Terminal value = 86% of EV (target &lt;80%). Consider longer explicit forecast or lower terminal growth.</t>
        </is>
      </c>
    </row>
    <row r="15">
      <c r="A15" s="10" t="inlineStr">
        <is>
          <t>[16:55:26] ⚠ Terminal value = 86% of EV (target &lt;80%). Consider longer explicit forecast or lower terminal growth.</t>
        </is>
      </c>
    </row>
    <row r="16">
      <c r="A16" s="10" t="inlineStr">
        <is>
          <t>[16:55:26] ⚠ Terminal value = 85% of EV (target &lt;80%). Consider longer explicit forecast or lower terminal growth.</t>
        </is>
      </c>
    </row>
    <row r="17">
      <c r="A17" s="10" t="inlineStr">
        <is>
          <t>[16:55:26] ⚠ Terminal value = 85% of EV (target &lt;80%). Consider longer explicit forecast or lower terminal growth.</t>
        </is>
      </c>
    </row>
    <row r="18">
      <c r="A18" s="10" t="inlineStr">
        <is>
          <t>[16:55:26] ⚠ Terminal value = 85% of EV (target &lt;80%). Consider longer explicit forecast or lower terminal growth.</t>
        </is>
      </c>
    </row>
    <row r="19">
      <c r="A19" s="10" t="inlineStr">
        <is>
          <t>[16:55:26] ⚠ Terminal value = 85% of EV (target &lt;80%). Consider longer explicit forecast or lower terminal growth.</t>
        </is>
      </c>
    </row>
    <row r="20">
      <c r="A20" s="10" t="inlineStr">
        <is>
          <t>[16:55:26] ⚠ Terminal value = 86% of EV (target &lt;80%). Consider longer explicit forecast or lower terminal growth.</t>
        </is>
      </c>
    </row>
    <row r="21">
      <c r="A21" s="10" t="inlineStr">
        <is>
          <t>[16:55:26] ⚠ Terminal value = 85% of EV (target &lt;80%). Consider longer explicit forecast or lower terminal growth.</t>
        </is>
      </c>
    </row>
    <row r="22">
      <c r="A22" s="10" t="inlineStr">
        <is>
          <t>[16:55:26] ⚠ Terminal value = 85% of EV (target &lt;80%). Consider longer explicit forecast or lower terminal growth.</t>
        </is>
      </c>
    </row>
    <row r="23">
      <c r="A23" s="10" t="inlineStr">
        <is>
          <t>[16:55:26] ⚠ Terminal value = 87% of EV (target &lt;80%). Consider longer explicit forecast or lower terminal growth.</t>
        </is>
      </c>
    </row>
    <row r="24">
      <c r="A24" s="10" t="inlineStr">
        <is>
          <t>[16:55:26] ⚠ Terminal value = 88% of EV (target &lt;80%). Consider longer explicit forecast or lower terminal growth.</t>
        </is>
      </c>
    </row>
    <row r="25">
      <c r="A25" s="10" t="inlineStr">
        <is>
          <t>[16:55:26] ⚠ Terminal value = 87% of EV (target &lt;80%). Consider longer explicit forecast or lower terminal growth.</t>
        </is>
      </c>
    </row>
    <row r="26">
      <c r="A26" s="10" t="inlineStr">
        <is>
          <t>[16:55:26] ⚠ Terminal value = 86% of EV (target &lt;80%). Consider longer explicit forecast or lower terminal growth.</t>
        </is>
      </c>
    </row>
    <row r="27">
      <c r="A27" s="10" t="inlineStr">
        <is>
          <t>[16:55:26] ⚠ Terminal value = 86% of EV (target &lt;80%). Consider longer explicit forecast or lower terminal growth.</t>
        </is>
      </c>
    </row>
    <row r="28">
      <c r="A28" s="10" t="inlineStr">
        <is>
          <t>[16:55:26] ⚠ Terminal value = 86% of EV (target &lt;80%). Consider longer explicit forecast or lower terminal growth.</t>
        </is>
      </c>
    </row>
    <row r="29">
      <c r="A29" s="10" t="inlineStr">
        <is>
          <t>[16:55:26] ⚠ Terminal value = 86% of EV (target &lt;80%). Consider longer explicit forecast or lower terminal growth.</t>
        </is>
      </c>
    </row>
    <row r="30">
      <c r="A30" s="10" t="inlineStr">
        <is>
          <t>[16:55:26] ⚠ Terminal value = 86% of EV (target &lt;80%). Consider longer explicit forecast or lower terminal growth.</t>
        </is>
      </c>
    </row>
    <row r="31">
      <c r="A31" s="10" t="inlineStr">
        <is>
          <t>[16:55:26] ⚠ Terminal value = 86% of EV (target &lt;80%). Consider longer explicit forecast or lower terminal growth.</t>
        </is>
      </c>
    </row>
    <row r="32">
      <c r="A32" s="10" t="inlineStr">
        <is>
          <t>[16:55:26] ⚠ Terminal value = 86% of EV (target &lt;80%). Consider longer explicit forecast or lower terminal growth.</t>
        </is>
      </c>
    </row>
    <row r="33">
      <c r="A33" s="10" t="inlineStr">
        <is>
          <t>[16:55:26] ⚠ Terminal value = 86% of EV (target &lt;80%). Consider longer explicit forecast or lower terminal growth.</t>
        </is>
      </c>
    </row>
    <row r="34">
      <c r="A34" s="10" t="inlineStr">
        <is>
          <t>[16:55:26] ⚠ Terminal value = 86% of EV (target &lt;80%). Consider longer explicit forecast or lower terminal growth.</t>
        </is>
      </c>
    </row>
    <row r="35">
      <c r="A35" s="10" t="inlineStr">
        <is>
          <t>[16:55:26] ⚠ Terminal value = 86% of EV (target &lt;80%). Consider longer explicit forecast or lower terminal growth.</t>
        </is>
      </c>
    </row>
    <row r="36">
      <c r="A36" s="10" t="inlineStr">
        <is>
          <t>[16:55:26] ⚠ Terminal value = 86% of EV (target &lt;80%). Consider longer explicit forecast or lower terminal growth.</t>
        </is>
      </c>
    </row>
    <row r="37">
      <c r="A37" s="10" t="inlineStr">
        <is>
          <t>[16:55:26] ⚠ Terminal value = 86% of EV (target &lt;80%). Consider longer explicit forecast or lower terminal growth.</t>
        </is>
      </c>
    </row>
    <row r="38">
      <c r="A38" s="10" t="inlineStr">
        <is>
          <t>[16:55:26] ⚠ Terminal value = 86% of EV (target &lt;80%). Consider longer explicit forecast or lower terminal growth.</t>
        </is>
      </c>
    </row>
    <row r="39">
      <c r="A39" s="10" t="inlineStr">
        <is>
          <t>[16:55:26] ⚠ Terminal value = 86% of EV (target &lt;80%). Consider longer explicit forecast or lower terminal growth.</t>
        </is>
      </c>
    </row>
    <row r="40">
      <c r="A40" s="10" t="inlineStr">
        <is>
          <t>[16:55:26] ⚠ Terminal value = 86% of EV (target &lt;80%). Consider longer explicit forecast or lower terminal growth.</t>
        </is>
      </c>
    </row>
    <row r="41">
      <c r="A41" s="10" t="inlineStr">
        <is>
          <t>[16:55:26] ⚠ Terminal value = 86% of EV (target &lt;80%). Consider longer explicit forecast or lower terminal growth.</t>
        </is>
      </c>
    </row>
    <row r="42">
      <c r="A42" s="10" t="inlineStr">
        <is>
          <t>[16:55:26] ⚠ Terminal value = 86% of EV (target &lt;80%). Consider longer explicit forecast or lower terminal growth.</t>
        </is>
      </c>
    </row>
    <row r="43">
      <c r="A43" s="10" t="inlineStr">
        <is>
          <t>[16:55:26] ⚠ Terminal value = 86% of EV (target &lt;80%). Consider longer explicit forecast or lower terminal growth.</t>
        </is>
      </c>
    </row>
    <row r="44">
      <c r="A44" s="10" t="inlineStr">
        <is>
          <t>[16:55:26] ⚠ Terminal value = 86% of EV (target &lt;80%). Consider longer explicit forecast or lower terminal growth.</t>
        </is>
      </c>
    </row>
    <row r="45">
      <c r="A45" s="10" t="inlineStr">
        <is>
          <t>[16:55:26] ⚠ Terminal value = 86% of EV (target &lt;80%). Consider longer explicit forecast or lower terminal growth.</t>
        </is>
      </c>
    </row>
    <row r="46">
      <c r="A46" s="10" t="inlineStr">
        <is>
          <t>[16:55:26] ⚠ Terminal value = 86% of EV (target &lt;80%). Consider longer explicit forecast or lower terminal growth.</t>
        </is>
      </c>
    </row>
    <row r="47">
      <c r="A47" s="10" t="inlineStr">
        <is>
          <t>[16:55:26] ⚠ Terminal value = 86% of EV (target &lt;80%). Consider longer explicit forecast or lower terminal growth.</t>
        </is>
      </c>
    </row>
    <row r="48">
      <c r="A48" s="10" t="inlineStr">
        <is>
          <t>[16:55:26] ⚠ Terminal value = 86% of EV (target &lt;80%). Consider longer explicit forecast or lower terminal growth.</t>
        </is>
      </c>
    </row>
    <row r="49">
      <c r="A49" s="10" t="inlineStr">
        <is>
          <t>[16:55:26] ⚠ Terminal value = 86% of EV (target &lt;80%). Consider longer explicit forecast or lower terminal growth.</t>
        </is>
      </c>
    </row>
    <row r="50">
      <c r="A50" s="10" t="inlineStr">
        <is>
          <t>[16:55:26] ⚠ Terminal value = 86% of EV (target &lt;80%). Consider longer explicit forecast or lower terminal growth.</t>
        </is>
      </c>
    </row>
    <row r="51">
      <c r="A51" s="10" t="inlineStr">
        <is>
          <t>[16:55:26] ⚠ Terminal value = 86% of EV (target &lt;80%). Consider longer explicit forecast or lower terminal growth.</t>
        </is>
      </c>
    </row>
    <row r="52">
      <c r="A52" s="10" t="inlineStr">
        <is>
          <t>[16:55:26] ⚠ Terminal value = 86% of EV (target &lt;80%). Consider longer explicit forecast or lower terminal growth.</t>
        </is>
      </c>
    </row>
    <row r="53">
      <c r="A53" s="10" t="inlineStr">
        <is>
          <t>[16:55:26] ⚠ Terminal value = 86% of EV (target &lt;80%). Consider longer explicit forecast or lower terminal growth.</t>
        </is>
      </c>
    </row>
    <row r="54">
      <c r="A54" s="10" t="inlineStr">
        <is>
          <t>[16:55:26] ⚠ Terminal value = 86% of EV (target &lt;80%). Consider longer explicit forecast or lower terminal growth.</t>
        </is>
      </c>
    </row>
    <row r="55">
      <c r="A55" s="10" t="inlineStr">
        <is>
          <t>[16:55:26] ⚠ Terminal value = 86% of EV (target &lt;80%). Consider longer explicit forecast or lower terminal growth.</t>
        </is>
      </c>
    </row>
    <row r="56">
      <c r="A56" s="10" t="inlineStr">
        <is>
          <t>[16:55:26] ⚠ Terminal value = 86% of EV (target &lt;80%). Consider longer explicit forecast or lower terminal growth.</t>
        </is>
      </c>
    </row>
    <row r="57">
      <c r="A57" s="10" t="inlineStr">
        <is>
          <t>[16:55:26] ⚠ Terminal value = 86% of EV (target &lt;80%). Consider longer explicit forecast or lower terminal growth.</t>
        </is>
      </c>
    </row>
    <row r="58">
      <c r="A58" s="10" t="inlineStr">
        <is>
          <t>[16:55:26] ⚠ Terminal value = 86% of EV (target &lt;80%). Consider longer explicit forecast or lower terminal growth.</t>
        </is>
      </c>
    </row>
    <row r="59">
      <c r="A59" s="10" t="inlineStr">
        <is>
          <t>[16:55:26] ⚠ Terminal value = 86% of EV (target &lt;80%). Consider longer explicit forecast or lower terminal growth.</t>
        </is>
      </c>
    </row>
    <row r="60">
      <c r="A60" s="10" t="inlineStr">
        <is>
          <t>[16:55:26] ⚠ Terminal value = 86% of EV (target &lt;80%). Consider longer explicit forecast or lower terminal growth.</t>
        </is>
      </c>
    </row>
    <row r="61">
      <c r="A61" s="10" t="inlineStr">
        <is>
          <t>[16:55:26] ⚠ Terminal value = 86% of EV (target &lt;80%). Consider longer explicit forecast or lower terminal growth.</t>
        </is>
      </c>
    </row>
    <row r="62">
      <c r="A62" s="10" t="inlineStr">
        <is>
          <t>[16:55:26] ⚠ Terminal value = 86% of EV (target &lt;80%). Consider longer explicit forecast or lower terminal growth.</t>
        </is>
      </c>
    </row>
    <row r="63">
      <c r="A63" s="10" t="inlineStr">
        <is>
          <t>[16:55:26] ⚠ Terminal value = 86% of EV (target &lt;80%). Consider longer explicit forecast or lower terminal growth.</t>
        </is>
      </c>
    </row>
    <row r="64">
      <c r="A64" s="10" t="inlineStr">
        <is>
          <t>[16:55:26] ⚠ Terminal value = 86% of EV (target &lt;80%). Consider longer explicit forecast or lower terminal growth.</t>
        </is>
      </c>
    </row>
    <row r="65">
      <c r="A65" s="10" t="inlineStr">
        <is>
          <t>[16:55:26] ⚠ Terminal value = 86% of EV (target &lt;80%). Consider longer explicit forecast or lower terminal growth.</t>
        </is>
      </c>
    </row>
    <row r="66">
      <c r="A66" s="10" t="inlineStr">
        <is>
          <t>[16:55:26] ⚠ Terminal value = 86% of EV (target &lt;80%). Consider longer explicit forecast or lower terminal growth.</t>
        </is>
      </c>
    </row>
    <row r="67">
      <c r="A67" s="10" t="inlineStr">
        <is>
          <t>[16:55:26] ⚠ Terminal value = 86% of EV (target &lt;80%). Consider longer explicit forecast or lower terminal growth.</t>
        </is>
      </c>
    </row>
    <row r="68">
      <c r="A68" s="10" t="inlineStr">
        <is>
          <t>[16:55:26] ⚠ Terminal value = 86% of EV (target &lt;80%). Consider longer explicit forecast or lower terminal growth.</t>
        </is>
      </c>
    </row>
    <row r="69">
      <c r="A69" s="10" t="inlineStr">
        <is>
          <t>[16:55:26] ⚠ Terminal value = 86% of EV (target &lt;80%). Consider longer explicit forecast or lower terminal growth.</t>
        </is>
      </c>
    </row>
    <row r="70">
      <c r="A70" s="10" t="inlineStr">
        <is>
          <t>[16:55:26] ⚠ Terminal value = 86% of EV (target &lt;80%). Consider longer explicit forecast or lower terminal growth.</t>
        </is>
      </c>
    </row>
    <row r="71">
      <c r="A71" s="10" t="inlineStr">
        <is>
          <t>[16:55:26] ⚠ Terminal value = 86% of EV (target &lt;80%). Consider longer explicit forecast or lower terminal growth.</t>
        </is>
      </c>
    </row>
    <row r="72">
      <c r="A72" s="10" t="inlineStr">
        <is>
          <t>[16:55:26] ⚠ Terminal value = 86% of EV (target &lt;80%). Consider longer explicit forecast or lower terminal growth.</t>
        </is>
      </c>
    </row>
    <row r="73">
      <c r="A73" s="10" t="inlineStr">
        <is>
          <t>[16:55:26] ⚠ Terminal value = 86% of EV (target &lt;80%). Consider longer explicit forecast or lower terminal growth.</t>
        </is>
      </c>
    </row>
    <row r="74">
      <c r="A74" s="10" t="inlineStr">
        <is>
          <t>[16:55:26] ⚠ Terminal value = 86% of EV (target &lt;80%). Consider longer explicit forecast or lower terminal growth.</t>
        </is>
      </c>
    </row>
    <row r="75">
      <c r="A75" s="10" t="inlineStr">
        <is>
          <t>[16:55:26] ⚠ Terminal value = 86% of EV (target &lt;80%). Consider longer explicit forecast or lower terminal growth.</t>
        </is>
      </c>
    </row>
    <row r="76">
      <c r="A76" s="10" t="inlineStr">
        <is>
          <t>[16:55:26] ⚠ Terminal value = 86% of EV (target &lt;80%). Consider longer explicit forecast or lower terminal growth.</t>
        </is>
      </c>
    </row>
    <row r="77">
      <c r="A77" s="10" t="inlineStr">
        <is>
          <t>[16:55:26] ⚠ Terminal value = 86% of EV (target &lt;80%). Consider longer explicit forecast or lower terminal growth.</t>
        </is>
      </c>
    </row>
    <row r="78">
      <c r="A78" s="10" t="inlineStr">
        <is>
          <t>[16:55:26] ⚠ Terminal value = 86% of EV (target &lt;80%). Consider longer explicit forecast or lower terminal growth.</t>
        </is>
      </c>
    </row>
    <row r="79">
      <c r="A79" s="10" t="inlineStr">
        <is>
          <t>[16:55:26] ⚠ Terminal value = 86% of EV (target &lt;80%). Consider longer explicit forecast or lower terminal growth.</t>
        </is>
      </c>
    </row>
    <row r="80">
      <c r="A80" s="10" t="inlineStr">
        <is>
          <t>[16:55:26] ⚠ Terminal value = 86% of EV (target &lt;80%). Consider longer explicit forecast or lower terminal growth.</t>
        </is>
      </c>
    </row>
    <row r="81">
      <c r="A81" s="10" t="inlineStr">
        <is>
          <t>[16:55:26] ⚠ Terminal value = 86% of EV (target &lt;80%). Consider longer explicit forecast or lower terminal growth.</t>
        </is>
      </c>
    </row>
    <row r="82">
      <c r="A82" s="10" t="inlineStr">
        <is>
          <t>[16:55:26] ⚠ Terminal value = 86% of EV (target &lt;80%). Consider longer explicit forecast or lower terminal growth.</t>
        </is>
      </c>
    </row>
    <row r="83">
      <c r="A83" s="10" t="inlineStr">
        <is>
          <t>[16:55:26] ⚠ Terminal value = 86% of EV (target &lt;80%). Consider longer explicit forecast or lower terminal growth.</t>
        </is>
      </c>
    </row>
    <row r="84">
      <c r="A84" s="10" t="inlineStr">
        <is>
          <t>[16:55:26] ⚠ Terminal value = 86% of EV (target &lt;80%). Consider longer explicit forecast or lower terminal growth.</t>
        </is>
      </c>
    </row>
    <row r="85">
      <c r="A85" s="10" t="inlineStr">
        <is>
          <t>[16:55:26] EBITDA margin set via peak_half of trailing 5y (values: [48.7, 44.3, -12.5, 34.6, 46.5]) → 46.5%.</t>
        </is>
      </c>
    </row>
    <row r="86">
      <c r="A86" s="10" t="inlineStr">
        <is>
          <t>[16:55:26] ⚠ Terminal value = 91% of EV (target &lt;80%). Consider longer explicit forecast or lower terminal growth.</t>
        </is>
      </c>
    </row>
    <row r="87">
      <c r="A87" s="10" t="inlineStr">
        <is>
          <t>[16:55:26] EBITDA margin set via peak_half of trailing 5y (values: [48.7, 44.3, -12.5, 34.6, 46.5]) → 46.5%.</t>
        </is>
      </c>
    </row>
    <row r="88">
      <c r="A88" s="10" t="inlineStr">
        <is>
          <t>[16:55:26] EBITDA margin set via peak_half of trailing 5y (values: [48.7, 44.3, -12.5, 34.6, 46.5]) → 46.5%.</t>
        </is>
      </c>
    </row>
    <row r="89">
      <c r="A89" s="10" t="inlineStr">
        <is>
          <t>[16:55:26] ⚠ Terminal value = 112% of EV (target &lt;80%). Consider longer explicit forecast or lower terminal growth.</t>
        </is>
      </c>
    </row>
    <row r="90">
      <c r="A90" s="10" t="inlineStr">
        <is>
          <t>[16:55:26] EBITDA margin set via peak_half of trailing 5y (values: [48.7, 44.3, -12.5, 34.6, 46.5]) → 46.5%.</t>
        </is>
      </c>
    </row>
    <row r="91">
      <c r="A91" s="10" t="inlineStr">
        <is>
          <t>[16:55:26] ⚠ Terminal value = 98% of EV (target &lt;80%). Consider longer explicit forecast or lower terminal growth.</t>
        </is>
      </c>
    </row>
    <row r="92">
      <c r="A92" s="10" t="inlineStr">
        <is>
          <t>[16:55:26] EBITDA margin set via peak_half of trailing 5y (values: [48.7, 44.3, -12.5, 34.6, 46.5]) → 46.5%.</t>
        </is>
      </c>
    </row>
    <row r="93">
      <c r="A93" s="10" t="inlineStr">
        <is>
          <t>[16:55:26] ⚠ Terminal value = 94% of EV (target &lt;80%). Consider longer explicit forecast or lower terminal growth.</t>
        </is>
      </c>
    </row>
    <row r="94">
      <c r="A94" s="10" t="inlineStr">
        <is>
          <t>[16:55:26] EBITDA margin set via peak_half of trailing 5y (values: [48.7, 44.3, -12.5, 34.6, 46.5]) → 46.5%.</t>
        </is>
      </c>
    </row>
    <row r="95">
      <c r="A95" s="10" t="inlineStr">
        <is>
          <t>[16:55:26] ⚠ Terminal value = 92% of EV (target &lt;80%). Consider longer explicit forecast or lower terminal growth.</t>
        </is>
      </c>
    </row>
    <row r="96">
      <c r="A96" s="10" t="inlineStr">
        <is>
          <t>[16:55:26] EBITDA margin set via peak_half of trailing 5y (values: [48.7, 44.3, -12.5, 34.6, 46.5]) → 46.5%.</t>
        </is>
      </c>
    </row>
    <row r="97">
      <c r="A97" s="10" t="inlineStr">
        <is>
          <t>[16:55:26] ⚠ Terminal value = 92% of EV (target &lt;80%). Consider longer explicit forecast or lower terminal growth.</t>
        </is>
      </c>
    </row>
    <row r="98">
      <c r="A98" s="10" t="inlineStr">
        <is>
          <t>[16:55:26] EBITDA margin set via peak_half of trailing 5y (values: [48.7, 44.3, -12.5, 34.6, 46.5]) → 46.5%.</t>
        </is>
      </c>
    </row>
    <row r="99">
      <c r="A99" s="10" t="inlineStr">
        <is>
          <t>[16:55:26] ⚠ Terminal value = 91% of EV (target &lt;80%). Consider longer explicit forecast or lower terminal growth.</t>
        </is>
      </c>
    </row>
    <row r="100">
      <c r="A100" s="10" t="inlineStr">
        <is>
          <t>[16:55:26] EBITDA margin set via peak_half of trailing 5y (values: [48.7, 44.3, -12.5, 34.6, 46.5]) → 46.5%.</t>
        </is>
      </c>
    </row>
    <row r="101">
      <c r="A101" s="10" t="inlineStr">
        <is>
          <t>[16:55:26] ⚠ Terminal value = 91% of EV (target &lt;80%). Consider longer explicit forecast or lower terminal growth.</t>
        </is>
      </c>
    </row>
    <row r="102">
      <c r="A102" s="10" t="inlineStr">
        <is>
          <t>[16:55:26] EBITDA margin set via peak_half of trailing 5y (values: [48.7, 44.3, -12.5, 34.6, 46.5]) → 46.5%.</t>
        </is>
      </c>
    </row>
    <row r="103">
      <c r="A103" s="10" t="inlineStr">
        <is>
          <t>[16:55:26] ⚠ Terminal value = 91% of EV (target &lt;80%). Consider longer explicit forecast or lower terminal growth.</t>
        </is>
      </c>
    </row>
    <row r="104">
      <c r="A104" s="10" t="inlineStr">
        <is>
          <t>[16:55:26] EBITDA margin set via peak_half of trailing 5y (values: [48.7, 44.3, -12.5, 34.6, 46.5]) → 46.5%.</t>
        </is>
      </c>
    </row>
    <row r="105">
      <c r="A105" s="10" t="inlineStr">
        <is>
          <t>[16:55:26] ⚠ Terminal value = 91% of EV (target &lt;80%). Consider longer explicit forecast or lower terminal growth.</t>
        </is>
      </c>
    </row>
    <row r="106">
      <c r="A106" s="10" t="inlineStr">
        <is>
          <t>[16:55:26] EBITDA margin set via peak_half of trailing 5y (values: [48.7, 44.3, -12.5, 34.6, 46.5]) → 46.5%.</t>
        </is>
      </c>
    </row>
    <row r="107">
      <c r="A107" s="10" t="inlineStr">
        <is>
          <t>[16:55:26] ⚠ Terminal value = 91% of EV (target &lt;80%). Consider longer explicit forecast or lower terminal growth.</t>
        </is>
      </c>
    </row>
    <row r="108">
      <c r="A108" s="10" t="inlineStr">
        <is>
          <t>[16:55:26] EBITDA margin set via peak_half of trailing 5y (values: [48.7, 44.3, -12.5, 34.6, 46.5]) → 46.5%.</t>
        </is>
      </c>
    </row>
    <row r="109">
      <c r="A109" s="10" t="inlineStr">
        <is>
          <t>[16:55:26] ⚠ Terminal value = 91% of EV (target &lt;80%). Consider longer explicit forecast or lower terminal growth.</t>
        </is>
      </c>
    </row>
    <row r="110">
      <c r="A110" s="10" t="inlineStr">
        <is>
          <t>[16:55:26] EBITDA margin set via peak_half of trailing 5y (values: [48.7, 44.3, -12.5, 34.6, 46.5]) → 46.5%.</t>
        </is>
      </c>
    </row>
    <row r="111">
      <c r="A111" s="10" t="inlineStr">
        <is>
          <t>[16:55:26] ⚠ Terminal value = 91% of EV (target &lt;80%). Consider longer explicit forecast or lower terminal growth.</t>
        </is>
      </c>
    </row>
    <row r="112">
      <c r="A112" s="10" t="inlineStr">
        <is>
          <t>[16:55:26] EBITDA margin set via peak_half of trailing 5y (values: [48.7, 44.3, -12.5, 34.6, 46.5]) → 46.5%.</t>
        </is>
      </c>
    </row>
    <row r="113">
      <c r="A113" s="10" t="inlineStr">
        <is>
          <t>[16:55:26] ⚠ Terminal value = 91% of EV (target &lt;80%). Consider longer explicit forecast or lower terminal growth.</t>
        </is>
      </c>
    </row>
    <row r="114">
      <c r="A114" s="10" t="inlineStr">
        <is>
          <t>[16:55:26] EBITDA margin set via peak_half of trailing 5y (values: [48.7, 44.3, -12.5, 34.6, 46.5]) → 46.5%.</t>
        </is>
      </c>
    </row>
    <row r="115">
      <c r="A115" s="10" t="inlineStr">
        <is>
          <t>[16:55:26] ⚠ Terminal value = 91% of EV (target &lt;80%). Consider longer explicit forecast or lower terminal growth.</t>
        </is>
      </c>
    </row>
    <row r="116">
      <c r="A116" s="10" t="inlineStr">
        <is>
          <t>[16:55:26] EBITDA margin set via peak_half of trailing 5y (values: [48.7, 44.3, -12.5, 34.6, 46.5]) → 46.5%.</t>
        </is>
      </c>
    </row>
    <row r="117">
      <c r="A117" s="10" t="inlineStr">
        <is>
          <t>[16:55:26] ⚠ Terminal value = 91% of EV (target &lt;80%). Consider longer explicit forecast or lower terminal growth.</t>
        </is>
      </c>
    </row>
    <row r="118">
      <c r="A118" s="10" t="inlineStr">
        <is>
          <t>[16:55:26] EBITDA margin set via peak_half of trailing 5y (values: [48.7, 44.3, -12.5, 34.6, 46.5]) → 46.5%.</t>
        </is>
      </c>
    </row>
    <row r="119">
      <c r="A119" s="10" t="inlineStr">
        <is>
          <t>[16:55:26] ⚠ Terminal value = 91% of EV (target &lt;80%). Consider longer explicit forecast or lower terminal growth.</t>
        </is>
      </c>
    </row>
    <row r="120">
      <c r="A120" s="10" t="inlineStr">
        <is>
          <t>[16:55:26] EBITDA margin set via peak_half of trailing 5y (values: [48.7, 44.3, -12.5, 34.6, 46.5]) → 46.5%.</t>
        </is>
      </c>
    </row>
    <row r="121">
      <c r="A121" s="10" t="inlineStr">
        <is>
          <t>[16:55:26] ⚠ Terminal value = 91% of EV (target &lt;80%). Consider longer explicit forecast or lower terminal growth.</t>
        </is>
      </c>
    </row>
    <row r="122">
      <c r="A122" s="10" t="inlineStr">
        <is>
          <t>[16:55:26] EBITDA margin set via peak_half of trailing 5y (values: [48.7, 44.3, -12.5, 34.6, 46.5]) → 46.5%.</t>
        </is>
      </c>
    </row>
    <row r="123">
      <c r="A123" s="10" t="inlineStr">
        <is>
          <t>[16:55:26] ⚠ Terminal value = 91% of EV (target &lt;80%). Consider longer explicit forecast or lower terminal growth.</t>
        </is>
      </c>
    </row>
    <row r="124">
      <c r="A124" s="10" t="inlineStr">
        <is>
          <t>[16:55:26] EBITDA margin set via peak_half of trailing 5y (values: [48.7, 44.3, -12.5, 34.6, 46.5]) → 46.5%.</t>
        </is>
      </c>
    </row>
    <row r="125">
      <c r="A125" s="10" t="inlineStr">
        <is>
          <t>[16:55:26] ⚠ Terminal value = 91% of EV (target &lt;80%). Consider longer explicit forecast or lower terminal growth.</t>
        </is>
      </c>
    </row>
    <row r="126">
      <c r="A126" s="10" t="inlineStr">
        <is>
          <t>[16:55:26] EBITDA margin set via peak_half of trailing 5y (values: [48.7, 44.3, -12.5, 34.6, 46.5]) → 46.5%.</t>
        </is>
      </c>
    </row>
    <row r="127">
      <c r="A127" s="10" t="inlineStr">
        <is>
          <t>[16:55:26] ⚠ Terminal value = 91% of EV (target &lt;80%). Consider longer explicit forecast or lower terminal growth.</t>
        </is>
      </c>
    </row>
    <row r="128">
      <c r="A128" s="10" t="inlineStr">
        <is>
          <t>[16:55:26] EBITDA margin set via peak_half of trailing 5y (values: [48.7, 44.3, -12.5, 34.6, 46.5]) → 46.5%.</t>
        </is>
      </c>
    </row>
    <row r="129">
      <c r="A129" s="10" t="inlineStr">
        <is>
          <t>[16:55:26] ⚠ Terminal value = 91% of EV (target &lt;80%). Consider longer explicit forecast or lower terminal growth.</t>
        </is>
      </c>
    </row>
    <row r="130">
      <c r="A130" s="10" t="inlineStr">
        <is>
          <t>[16:55:26] EBITDA margin set via peak_half of trailing 5y (values: [48.7, 44.3, -12.5, 34.6, 46.5]) → 46.5%.</t>
        </is>
      </c>
    </row>
    <row r="131">
      <c r="A131" s="10" t="inlineStr">
        <is>
          <t>[16:55:26] ⚠ Terminal value = 91% of EV (target &lt;80%). Consider longer explicit forecast or lower terminal growth.</t>
        </is>
      </c>
    </row>
    <row r="132">
      <c r="A132" s="10" t="inlineStr">
        <is>
          <t>[16:55:26] EBITDA margin set via peak_half of trailing 5y (values: [48.7, 44.3, -12.5, 34.6, 46.5]) → 46.5%.</t>
        </is>
      </c>
    </row>
    <row r="133">
      <c r="A133" s="10" t="inlineStr">
        <is>
          <t>[16:55:26] ⚠ Terminal value = 91% of EV (target &lt;80%). Consider longer explicit forecast or lower terminal growth.</t>
        </is>
      </c>
    </row>
    <row r="134">
      <c r="A134" s="10" t="inlineStr">
        <is>
          <t>[16:55:26] EBITDA margin set via peak_half of trailing 5y (values: [48.7, 44.3, -12.5, 34.6, 46.5]) → 46.5%.</t>
        </is>
      </c>
    </row>
    <row r="135">
      <c r="A135" s="10" t="inlineStr">
        <is>
          <t>[16:55:26] ⚠ Terminal value = 91% of EV (target &lt;80%). Consider longer explicit forecast or lower terminal growth.</t>
        </is>
      </c>
    </row>
    <row r="136">
      <c r="A136" s="10" t="inlineStr">
        <is>
          <t>[16:55:26] EBITDA margin set via peak_half of trailing 5y (values: [48.7, 44.3, -12.5, 34.6, 46.5]) → 46.5%.</t>
        </is>
      </c>
    </row>
    <row r="137">
      <c r="A137" s="10" t="inlineStr">
        <is>
          <t>[16:55:26] ⚠ Terminal value = 91% of EV (target &lt;80%). Consider longer explicit forecast or lower terminal growth.</t>
        </is>
      </c>
    </row>
    <row r="138">
      <c r="A138" s="10" t="inlineStr">
        <is>
          <t>[16:55:26] EBITDA margin set via peak_half of trailing 5y (values: [48.7, 44.3, -12.5, 34.6, 46.5]) → 46.5%.</t>
        </is>
      </c>
    </row>
    <row r="139">
      <c r="A139" s="10" t="inlineStr">
        <is>
          <t>[16:55:26] ⚠ Terminal value = 91% of EV (target &lt;80%). Consider longer explicit forecast or lower terminal growth.</t>
        </is>
      </c>
    </row>
    <row r="140">
      <c r="A140" s="10" t="inlineStr">
        <is>
          <t>[16:55:26] EBITDA margin set via peak_half of trailing 5y (values: [48.7, 44.3, -12.5, 34.6, 46.5]) → 46.5%.</t>
        </is>
      </c>
    </row>
    <row r="141">
      <c r="A141" s="10" t="inlineStr">
        <is>
          <t>[16:55:26] ⚠ Terminal value = 91% of EV (target &lt;80%). Consider longer explicit forecast or lower terminal growth.</t>
        </is>
      </c>
    </row>
    <row r="142">
      <c r="A142" s="10" t="inlineStr">
        <is>
          <t>[16:55:26] EBITDA margin set via peak_half of trailing 5y (values: [48.7, 44.3, -12.5, 34.6, 46.5]) → 46.5%.</t>
        </is>
      </c>
    </row>
    <row r="143">
      <c r="A143" s="10" t="inlineStr">
        <is>
          <t>[16:55:26] ⚠ Terminal value = 91% of EV (target &lt;80%). Consider longer explicit forecast or lower terminal growth.</t>
        </is>
      </c>
    </row>
    <row r="144">
      <c r="A144" s="10" t="inlineStr">
        <is>
          <t>[16:55:26] EBITDA margin set via peak_half of trailing 5y (values: [48.7, 44.3, -12.5, 34.6, 46.5]) → 46.5%.</t>
        </is>
      </c>
    </row>
    <row r="145">
      <c r="A145" s="10" t="inlineStr">
        <is>
          <t>[16:55:26] ⚠ Terminal value = 91% of EV (target &lt;80%). Consider longer explicit forecast or lower terminal growth.</t>
        </is>
      </c>
    </row>
    <row r="146">
      <c r="A146" s="10" t="inlineStr">
        <is>
          <t>[16:55:26] EBITDA margin set via peak_half of trailing 5y (values: [48.7, 44.3, -12.5, 34.6, 46.5]) → 46.5%.</t>
        </is>
      </c>
    </row>
    <row r="147">
      <c r="A147" s="10" t="inlineStr">
        <is>
          <t>[16:55:26] ⚠ Terminal value = 91% of EV (target &lt;80%). Consider longer explicit forecast or lower terminal growth.</t>
        </is>
      </c>
    </row>
    <row r="148">
      <c r="A148" s="10" t="inlineStr">
        <is>
          <t>[16:55:26] EBITDA margin set via peak_half of trailing 5y (values: [48.7, 44.3, -12.5, 34.6, 46.5]) → 46.5%.</t>
        </is>
      </c>
    </row>
    <row r="149">
      <c r="A149" s="10" t="inlineStr">
        <is>
          <t>[16:55:26] ⚠ Terminal value = 91% of EV (target &lt;80%). Consider longer explicit forecast or lower terminal growth.</t>
        </is>
      </c>
    </row>
    <row r="150">
      <c r="A150" s="10" t="inlineStr">
        <is>
          <t>[16:55:26] EBITDA margin set via peak_half of trailing 5y (values: [48.7, 44.3, -12.5, 34.6, 46.5]) → 46.5%.</t>
        </is>
      </c>
    </row>
    <row r="151">
      <c r="A151" s="10" t="inlineStr">
        <is>
          <t>[16:55:26] ⚠ Terminal value = 91% of EV (target &lt;80%). Consider longer explicit forecast or lower terminal growth.</t>
        </is>
      </c>
    </row>
    <row r="152">
      <c r="A152" s="10" t="inlineStr">
        <is>
          <t>[16:55:26] EBITDA margin set via peak_half of trailing 5y (values: [48.7, 44.3, -12.5, 34.6, 46.5]) → 46.5%.</t>
        </is>
      </c>
    </row>
    <row r="153">
      <c r="A153" s="10" t="inlineStr">
        <is>
          <t>[16:55:26] ⚠ Terminal value = 91% of EV (target &lt;80%). Consider longer explicit forecast or lower terminal growth.</t>
        </is>
      </c>
    </row>
    <row r="154">
      <c r="A154" s="10" t="inlineStr">
        <is>
          <t>[16:55:26] EBITDA margin set via peak_half of trailing 5y (values: [48.7, 44.3, -12.5, 34.6, 46.5]) → 46.5%.</t>
        </is>
      </c>
    </row>
    <row r="155">
      <c r="A155" s="10" t="inlineStr">
        <is>
          <t>[16:55:26] ⚠ Terminal value = 91% of EV (target &lt;80%). Consider longer explicit forecast or lower terminal growth.</t>
        </is>
      </c>
    </row>
    <row r="156">
      <c r="A156" s="10" t="inlineStr">
        <is>
          <t>[16:55:26] EBITDA margin set via peak_half of trailing 5y (values: [48.7, 44.3, -12.5, 34.6, 46.5]) → 46.5%.</t>
        </is>
      </c>
    </row>
    <row r="157">
      <c r="A157" s="10" t="inlineStr">
        <is>
          <t>[16:55:26] ⚠ Terminal value = 91% of EV (target &lt;80%). Consider longer explicit forecast or lower terminal growth.</t>
        </is>
      </c>
    </row>
    <row r="158">
      <c r="A158" s="10" t="inlineStr">
        <is>
          <t>[16:55:26] EBITDA margin set via peak_half of trailing 5y (values: [48.7, 44.3, -12.5, 34.6, 46.5]) → 46.5%.</t>
        </is>
      </c>
    </row>
    <row r="159">
      <c r="A159" s="10" t="inlineStr">
        <is>
          <t>[16:55:26] ⚠ Terminal value = 91% of EV (target &lt;80%). Consider longer explicit forecast or lower terminal growth.</t>
        </is>
      </c>
    </row>
    <row r="160">
      <c r="A160" s="10" t="inlineStr">
        <is>
          <t>[16:55:26] EBITDA margin set via peak_half of trailing 5y (values: [48.7, 44.3, -12.5, 34.6, 46.5]) → 46.5%.</t>
        </is>
      </c>
    </row>
    <row r="161">
      <c r="A161" s="10" t="inlineStr">
        <is>
          <t>[16:55:26] ⚠ Terminal value = 91% of EV (target &lt;80%). Consider longer explicit forecast or lower terminal growth.</t>
        </is>
      </c>
    </row>
    <row r="162">
      <c r="A162" s="10" t="inlineStr">
        <is>
          <t>[16:55:26] EBITDA margin set via peak_half of trailing 5y (values: [48.7, 44.3, -12.5, 34.6, 46.5]) → 46.5%.</t>
        </is>
      </c>
    </row>
    <row r="163">
      <c r="A163" s="10" t="inlineStr">
        <is>
          <t>[16:55:26] ⚠ Terminal value = 91% of EV (target &lt;80%). Consider longer explicit forecast or lower terminal growth.</t>
        </is>
      </c>
    </row>
    <row r="164">
      <c r="A164" s="10" t="inlineStr">
        <is>
          <t>[16:55:26] EBITDA margin set via peak_half of trailing 5y (values: [48.7, 44.3, -12.5, 34.6, 46.5]) → 46.5%.</t>
        </is>
      </c>
    </row>
    <row r="165">
      <c r="A165" s="10" t="inlineStr">
        <is>
          <t>[16:55:26] ⚠ Terminal value = 91% of EV (target &lt;80%). Consider longer explicit forecast or lower terminal growth.</t>
        </is>
      </c>
    </row>
    <row r="166">
      <c r="A166" s="10" t="inlineStr">
        <is>
          <t>[16:55:26] EBITDA margin set via peak_half of trailing 5y (values: [48.7, 44.3, -12.5, 34.6, 46.5]) → 46.5%.</t>
        </is>
      </c>
    </row>
    <row r="167">
      <c r="A167" s="10" t="inlineStr">
        <is>
          <t>[16:55:26] ⚠ Terminal value = 91% of EV (target &lt;80%). Consider longer explicit forecast or lower terminal growth.</t>
        </is>
      </c>
    </row>
    <row r="168">
      <c r="A168" s="10" t="inlineStr">
        <is>
          <t>[16:55:26] EBITDA margin set via peak_half of trailing 5y (values: [48.7, 44.3, -12.5, 34.6, 46.5]) → 46.5%.</t>
        </is>
      </c>
    </row>
    <row r="169">
      <c r="A169" s="10" t="inlineStr">
        <is>
          <t>[16:55:26] ⚠ Terminal value = 91% of EV (target &lt;80%). Consider longer explicit forecast or lower terminal growth.</t>
        </is>
      </c>
    </row>
    <row r="170">
      <c r="A170" s="10" t="inlineStr">
        <is>
          <t>[16:55:26] EBITDA margin set via peak_half of trailing 5y (values: [48.7, 44.3, -12.5, 34.6, 46.5]) → 46.5%.</t>
        </is>
      </c>
    </row>
    <row r="171">
      <c r="A171" s="10" t="inlineStr">
        <is>
          <t>[16:55:26] ⚠ Terminal value = 91% of EV (target &lt;80%). Consider longer explicit forecast or lower terminal growth.</t>
        </is>
      </c>
    </row>
    <row r="172">
      <c r="A172" s="10" t="inlineStr">
        <is>
          <t>[16:55:26] EBITDA margin set via peak_half of trailing 5y (values: [48.7, 44.3, -12.5, 34.6, 46.5]) → 46.5%.</t>
        </is>
      </c>
    </row>
    <row r="173">
      <c r="A173" s="10" t="inlineStr">
        <is>
          <t>[16:55:26] ⚠ Terminal value = 91% of EV (target &lt;80%). Consider longer explicit forecast or lower terminal growth.</t>
        </is>
      </c>
    </row>
    <row r="174">
      <c r="A174" s="10" t="inlineStr">
        <is>
          <t>[16:55:26] EBITDA margin set via peak_half of trailing 5y (values: [48.7, 44.3, -12.5, 34.6, 46.5]) → 46.5%.</t>
        </is>
      </c>
    </row>
    <row r="175">
      <c r="A175" s="10" t="inlineStr">
        <is>
          <t>[16:55:26] ⚠ Terminal value = 91% of EV (target &lt;80%). Consider longer explicit forecast or lower terminal growth.</t>
        </is>
      </c>
    </row>
    <row r="176">
      <c r="A176" s="10" t="inlineStr">
        <is>
          <t>[16:55:26] EBITDA margin set via peak_half of trailing 5y (values: [48.7, 44.3, -12.5, 34.6, 46.5]) → 46.5%.</t>
        </is>
      </c>
    </row>
    <row r="177">
      <c r="A177" s="10" t="inlineStr">
        <is>
          <t>[16:55:26] ⚠ Terminal value = 91% of EV (target &lt;80%). Consider longer explicit forecast or lower terminal growth.</t>
        </is>
      </c>
    </row>
    <row r="178">
      <c r="A178" s="10" t="inlineStr">
        <is>
          <t>[16:55:26] EBITDA margin set via peak_half of trailing 5y (values: [48.7, 44.3, -12.5, 34.6, 46.5]) → 46.5%.</t>
        </is>
      </c>
    </row>
    <row r="179">
      <c r="A179" s="10" t="inlineStr">
        <is>
          <t>[16:55:26] ⚠ Terminal value = 91% of EV (target &lt;80%). Consider longer explicit forecast or lower terminal growth.</t>
        </is>
      </c>
    </row>
    <row r="180">
      <c r="A180" s="10" t="inlineStr">
        <is>
          <t>[16:55:26] EBITDA margin set via peak_half of trailing 5y (values: [48.7, 44.3, -12.5, 34.6, 46.5]) → 46.5%.</t>
        </is>
      </c>
    </row>
    <row r="181">
      <c r="A181" s="10" t="inlineStr">
        <is>
          <t>[16:55:26] ⚠ Terminal value = 91% of EV (target &lt;80%). Consider longer explicit forecast or lower terminal growth.</t>
        </is>
      </c>
    </row>
    <row r="182">
      <c r="A182" s="10" t="inlineStr">
        <is>
          <t>[16:55:26] EBITDA margin set via peak_half of trailing 5y (values: [48.7, 44.3, -12.5, 34.6, 46.5]) → 46.5%.</t>
        </is>
      </c>
    </row>
    <row r="183">
      <c r="A183" s="10" t="inlineStr">
        <is>
          <t>[16:55:26] ⚠ Terminal value = 91% of EV (target &lt;80%). Consider longer explicit forecast or lower terminal growth.</t>
        </is>
      </c>
    </row>
    <row r="184">
      <c r="A184" s="10" t="inlineStr">
        <is>
          <t>[16:55:26] EBITDA margin set via peak_half of trailing 5y (values: [48.7, 44.3, -12.5, 34.6, 46.5]) → 46.5%.</t>
        </is>
      </c>
    </row>
    <row r="185">
      <c r="A185" s="10" t="inlineStr">
        <is>
          <t>[16:55:26] ⚠ Terminal value = 91% of EV (target &lt;80%). Consider longer explicit forecast or lower terminal growth.</t>
        </is>
      </c>
    </row>
    <row r="186">
      <c r="A186" s="10" t="inlineStr">
        <is>
          <t>[16:55:26] EBITDA margin set via peak_half of trailing 5y (values: [48.7, 44.3, -12.5, 34.6, 46.5]) → 46.5%.</t>
        </is>
      </c>
    </row>
    <row r="187">
      <c r="A187" s="10" t="inlineStr">
        <is>
          <t>[16:55:26] ⚠ Terminal value = 91% of EV (target &lt;80%). Consider longer explicit forecast or lower terminal growth.</t>
        </is>
      </c>
    </row>
    <row r="188">
      <c r="A188" s="10" t="inlineStr">
        <is>
          <t>[16:55:26] EBITDA margin set via peak_half of trailing 5y (values: [48.7, 44.3, -12.5, 34.6, 46.5]) → 46.5%.</t>
        </is>
      </c>
    </row>
    <row r="189">
      <c r="A189" s="10" t="inlineStr">
        <is>
          <t>[16:55:26] ⚠ Terminal value = 91% of EV (target &lt;80%). Consider longer explicit forecast or lower terminal growth.</t>
        </is>
      </c>
    </row>
    <row r="190">
      <c r="A190" s="10" t="inlineStr">
        <is>
          <t>[16:55:26] EBITDA margin set via peak_half of trailing 5y (values: [48.7, 44.3, -12.5, 34.6, 46.5]) → 46.5%.</t>
        </is>
      </c>
    </row>
    <row r="191">
      <c r="A191" s="10" t="inlineStr">
        <is>
          <t>[16:55:26] ⚠ Terminal value = 91% of EV (target &lt;80%). Consider longer explicit forecast or lower terminal growth.</t>
        </is>
      </c>
    </row>
    <row r="192">
      <c r="A192" s="10" t="inlineStr">
        <is>
          <t>[16:55:26] EBITDA margin set via peak_half of trailing 5y (values: [48.7, 44.3, -12.5, 34.6, 46.5]) → 46.5%.</t>
        </is>
      </c>
    </row>
    <row r="193">
      <c r="A193" s="10" t="inlineStr">
        <is>
          <t>[16:55:26] ⚠ Terminal value = 91% of EV (target &lt;80%). Consider longer explicit forecast or lower terminal growth.</t>
        </is>
      </c>
    </row>
    <row r="194">
      <c r="A194" s="10" t="inlineStr">
        <is>
          <t>[16:55:26] EBITDA margin set via peak_half of trailing 5y (values: [48.7, 44.3, -12.5, 34.6, 46.5]) → 46.5%.</t>
        </is>
      </c>
    </row>
    <row r="195">
      <c r="A195" s="10" t="inlineStr">
        <is>
          <t>[16:55:26] ⚠ Terminal value = 91% of EV (target &lt;80%). Consider longer explicit forecast or lower terminal growth.</t>
        </is>
      </c>
    </row>
    <row r="196">
      <c r="A196" s="10" t="inlineStr">
        <is>
          <t>[16:55:26] EBITDA margin set via peak_half of trailing 5y (values: [48.7, 44.3, -12.5, 34.6, 46.5]) → 46.5%.</t>
        </is>
      </c>
    </row>
    <row r="197">
      <c r="A197" s="10" t="inlineStr">
        <is>
          <t>[16:55:26] ⚠ Terminal value = 91% of EV (target &lt;80%). Consider longer explicit forecast or lower terminal growth.</t>
        </is>
      </c>
    </row>
    <row r="198">
      <c r="A198" s="10" t="inlineStr">
        <is>
          <t>[16:55:26] EBITDA margin set via peak_half of trailing 5y (values: [48.7, 44.3, -12.5, 34.6, 46.5]) → 46.5%.</t>
        </is>
      </c>
    </row>
    <row r="199">
      <c r="A199" s="10" t="inlineStr">
        <is>
          <t>[16:55:26] ⚠ Terminal value = 91% of EV (target &lt;80%). Consider longer explicit forecast or lower terminal growth.</t>
        </is>
      </c>
    </row>
    <row r="200">
      <c r="A200" s="10" t="inlineStr">
        <is>
          <t>[16:55:26] EBITDA margin set via peak_half of trailing 5y (values: [48.7, 44.3, -12.5, 34.6, 46.5]) → 46.5%.</t>
        </is>
      </c>
    </row>
    <row r="201">
      <c r="A201" s="10" t="inlineStr">
        <is>
          <t>[16:55:26] ⚠ Terminal value = 91% of EV (target &lt;80%). Consider longer explicit forecast or lower terminal growth.</t>
        </is>
      </c>
    </row>
    <row r="202">
      <c r="A202" s="10" t="inlineStr">
        <is>
          <t>[16:55:26] EBITDA margin set via peak_half of trailing 5y (values: [48.7, 44.3, -12.5, 34.6, 46.5]) → 46.5%.</t>
        </is>
      </c>
    </row>
    <row r="203">
      <c r="A203" s="10" t="inlineStr">
        <is>
          <t>[16:55:26] ⚠ Terminal value = 91% of EV (target &lt;80%). Consider longer explicit forecast or lower terminal growth.</t>
        </is>
      </c>
    </row>
    <row r="204">
      <c r="A204" s="10" t="inlineStr">
        <is>
          <t>[16:55:27] EBITDA margin set via peak_half of trailing 5y (values: [48.7, 44.3, -12.5, 34.6, 46.5]) → 46.5%.</t>
        </is>
      </c>
    </row>
    <row r="205">
      <c r="A205" s="10" t="inlineStr">
        <is>
          <t>[16:55:27] EBITDA margin set via peak_half of trailing 5y (values: [48.7, 44.3, -12.5, 34.6, 46.5]) → 46.5%.</t>
        </is>
      </c>
    </row>
    <row r="206">
      <c r="A206" s="10" t="inlineStr">
        <is>
          <t>[16:55:27] EBITDA margin set via peak_half of trailing 5y (values: [48.7, 44.3, -12.5, 34.6, 46.5]) → 46.5%.</t>
        </is>
      </c>
    </row>
    <row r="207">
      <c r="A207" s="10" t="inlineStr">
        <is>
          <t>[16:55:27] EBITDA margin set via peak_half of trailing 5y (values: [48.7, 44.3, -12.5, 34.6, 46.5]) → 46.5%.</t>
        </is>
      </c>
    </row>
    <row r="208">
      <c r="A208" s="10" t="inlineStr">
        <is>
          <t>[16:55:27] EBITDA margin set via peak_half of trailing 5y (values: [48.7, 44.3, -12.5, 34.6, 46.5]) → 46.5%.</t>
        </is>
      </c>
    </row>
    <row r="209">
      <c r="A209" s="10" t="inlineStr">
        <is>
          <t>[16:55:27] EBITDA margin set via peak_half of trailing 5y (values: [48.7, 44.3, -12.5, 34.6, 46.5]) → 46.5%.</t>
        </is>
      </c>
    </row>
    <row r="210">
      <c r="A210" s="10" t="inlineStr">
        <is>
          <t>[16:55:27] EBITDA margin set via peak_half of trailing 5y (values: [48.7, 44.3, -12.5, 34.6, 46.5]) → 46.5%.</t>
        </is>
      </c>
    </row>
    <row r="211">
      <c r="A211" s="10" t="inlineStr">
        <is>
          <t>[16:55:27] ⚠ Terminal value = 130% of EV (target &lt;80%). Consider longer explicit forecast or lower terminal growth.</t>
        </is>
      </c>
    </row>
    <row r="212">
      <c r="A212" s="10" t="inlineStr">
        <is>
          <t>[16:55:27] EBITDA margin set via peak_half of trailing 5y (values: [48.7, 44.3, -12.5, 34.6, 46.5]) → 46.5%.</t>
        </is>
      </c>
    </row>
    <row r="213">
      <c r="A213" s="10" t="inlineStr">
        <is>
          <t>[16:55:27] ⚠ Terminal value = 131% of EV (target &lt;80%). Consider longer explicit forecast or lower terminal growth.</t>
        </is>
      </c>
    </row>
    <row r="214">
      <c r="A214" s="10" t="inlineStr">
        <is>
          <t>[16:55:27] EBITDA margin set via peak_half of trailing 5y (values: [48.7, 44.3, -12.5, 34.6, 46.5]) → 46.5%.</t>
        </is>
      </c>
    </row>
    <row r="215">
      <c r="A215" s="10" t="inlineStr">
        <is>
          <t>[16:55:27] ⚠ Terminal value = 132% of EV (target &lt;80%). Consider longer explicit forecast or lower terminal growth.</t>
        </is>
      </c>
    </row>
    <row r="216">
      <c r="A216" s="10" t="inlineStr">
        <is>
          <t>[16:55:27] EBITDA margin set via peak_half of trailing 5y (values: [48.7, 44.3, -12.5, 34.6, 46.5]) → 46.5%.</t>
        </is>
      </c>
    </row>
    <row r="217">
      <c r="A217" s="10" t="inlineStr">
        <is>
          <t>[16:55:27] ⚠ Terminal value = 134% of EV (target &lt;80%). Consider longer explicit forecast or lower terminal growth.</t>
        </is>
      </c>
    </row>
    <row r="218">
      <c r="A218" s="10" t="inlineStr">
        <is>
          <t>[16:55:27] EBITDA margin set via peak_half of trailing 5y (values: [48.7, 44.3, -12.5, 34.6, 46.5]) → 46.5%.</t>
        </is>
      </c>
    </row>
    <row r="219">
      <c r="A219" s="10" t="inlineStr">
        <is>
          <t>[16:55:27] ⚠ Terminal value = 135% of EV (target &lt;80%). Consider longer explicit forecast or lower terminal growth.</t>
        </is>
      </c>
    </row>
    <row r="220">
      <c r="A220" s="10" t="inlineStr">
        <is>
          <t>[16:55:27] EBITDA margin set via peak_half of trailing 5y (values: [48.7, 44.3, -12.5, 34.6, 46.5]) → 46.5%.</t>
        </is>
      </c>
    </row>
    <row r="221">
      <c r="A221" s="10" t="inlineStr">
        <is>
          <t>[16:55:27] ⚠ Terminal value = 138% of EV (target &lt;80%). Consider longer explicit forecast or lower terminal growth.</t>
        </is>
      </c>
    </row>
    <row r="222">
      <c r="A222" s="10" t="inlineStr">
        <is>
          <t>[16:55:27] EBITDA margin set via peak_half of trailing 5y (values: [48.7, 44.3, -12.5, 34.6, 46.5]) → 46.5%.</t>
        </is>
      </c>
    </row>
    <row r="223">
      <c r="A223" s="10" t="inlineStr">
        <is>
          <t>[16:55:27] ⚠ Terminal value = 105% of EV (target &lt;80%). Consider longer explicit forecast or lower terminal growth.</t>
        </is>
      </c>
    </row>
    <row r="224">
      <c r="A224" s="10" t="inlineStr">
        <is>
          <t>[16:55:27] EBITDA margin set via peak_half of trailing 5y (values: [48.7, 44.3, -12.5, 34.6, 46.5]) → 46.5%.</t>
        </is>
      </c>
    </row>
    <row r="225">
      <c r="A225" s="10" t="inlineStr">
        <is>
          <t>[16:55:27] ⚠ Terminal value = 105% of EV (target &lt;80%). Consider longer explicit forecast or lower terminal growth.</t>
        </is>
      </c>
    </row>
    <row r="226">
      <c r="A226" s="10" t="inlineStr">
        <is>
          <t>[16:55:27] EBITDA margin set via peak_half of trailing 5y (values: [48.7, 44.3, -12.5, 34.6, 46.5]) → 46.5%.</t>
        </is>
      </c>
    </row>
    <row r="227">
      <c r="A227" s="10" t="inlineStr">
        <is>
          <t>[16:55:27] ⚠ Terminal value = 105% of EV (target &lt;80%). Consider longer explicit forecast or lower terminal growth.</t>
        </is>
      </c>
    </row>
    <row r="228">
      <c r="A228" s="10" t="inlineStr">
        <is>
          <t>[16:55:27] EBITDA margin set via peak_half of trailing 5y (values: [48.7, 44.3, -12.5, 34.6, 46.5]) → 46.5%.</t>
        </is>
      </c>
    </row>
    <row r="229">
      <c r="A229" s="10" t="inlineStr">
        <is>
          <t>[16:55:27] ⚠ Terminal value = 105% of EV (target &lt;80%). Consider longer explicit forecast or lower terminal growth.</t>
        </is>
      </c>
    </row>
    <row r="230">
      <c r="A230" s="10" t="inlineStr">
        <is>
          <t>[16:55:27] EBITDA margin set via peak_half of trailing 5y (values: [48.7, 44.3, -12.5, 34.6, 46.5]) → 46.5%.</t>
        </is>
      </c>
    </row>
    <row r="231">
      <c r="A231" s="10" t="inlineStr">
        <is>
          <t>[16:55:27] ⚠ Terminal value = 105% of EV (target &lt;80%). Consider longer explicit forecast or lower terminal growth.</t>
        </is>
      </c>
    </row>
    <row r="232">
      <c r="A232" s="10" t="inlineStr">
        <is>
          <t>[16:55:27] EBITDA margin set via peak_half of trailing 5y (values: [48.7, 44.3, -12.5, 34.6, 46.5]) → 46.5%.</t>
        </is>
      </c>
    </row>
    <row r="233">
      <c r="A233" s="10" t="inlineStr">
        <is>
          <t>[16:55:27] ⚠ Terminal value = 105% of EV (target &lt;80%). Consider longer explicit forecast or lower terminal growth.</t>
        </is>
      </c>
    </row>
    <row r="234">
      <c r="A234" s="10" t="inlineStr">
        <is>
          <t>[16:55:27] EBITDA margin set via peak_half of trailing 5y (values: [48.7, 44.3, -12.5, 34.6, 46.5]) → 46.5%.</t>
        </is>
      </c>
    </row>
    <row r="235">
      <c r="A235" s="10" t="inlineStr">
        <is>
          <t>[16:55:27] ⚠ Terminal value = 94% of EV (target &lt;80%). Consider longer explicit forecast or lower terminal growth.</t>
        </is>
      </c>
    </row>
    <row r="236">
      <c r="A236" s="10" t="inlineStr">
        <is>
          <t>[16:55:27] EBITDA margin set via peak_half of trailing 5y (values: [48.7, 44.3, -12.5, 34.6, 46.5]) → 46.5%.</t>
        </is>
      </c>
    </row>
    <row r="237">
      <c r="A237" s="10" t="inlineStr">
        <is>
          <t>[16:55:27] ⚠ Terminal value = 94% of EV (target &lt;80%). Consider longer explicit forecast or lower terminal growth.</t>
        </is>
      </c>
    </row>
    <row r="238">
      <c r="A238" s="10" t="inlineStr">
        <is>
          <t>[16:55:27] EBITDA margin set via peak_half of trailing 5y (values: [48.7, 44.3, -12.5, 34.6, 46.5]) → 46.5%.</t>
        </is>
      </c>
    </row>
    <row r="239">
      <c r="A239" s="10" t="inlineStr">
        <is>
          <t>[16:55:27] ⚠ Terminal value = 94% of EV (target &lt;80%). Consider longer explicit forecast or lower terminal growth.</t>
        </is>
      </c>
    </row>
    <row r="240">
      <c r="A240" s="10" t="inlineStr">
        <is>
          <t>[16:55:27] EBITDA margin set via peak_half of trailing 5y (values: [48.7, 44.3, -12.5, 34.6, 46.5]) → 46.5%.</t>
        </is>
      </c>
    </row>
    <row r="241">
      <c r="A241" s="10" t="inlineStr">
        <is>
          <t>[16:55:27] ⚠ Terminal value = 94% of EV (target &lt;80%). Consider longer explicit forecast or lower terminal growth.</t>
        </is>
      </c>
    </row>
    <row r="242">
      <c r="A242" s="10" t="inlineStr">
        <is>
          <t>[16:55:27] EBITDA margin set via peak_half of trailing 5y (values: [48.7, 44.3, -12.5, 34.6, 46.5]) → 46.5%.</t>
        </is>
      </c>
    </row>
    <row r="243">
      <c r="A243" s="10" t="inlineStr">
        <is>
          <t>[16:55:27] ⚠ Terminal value = 94% of EV (target &lt;80%). Consider longer explicit forecast or lower terminal growth.</t>
        </is>
      </c>
    </row>
    <row r="244">
      <c r="A244" s="10" t="inlineStr">
        <is>
          <t>[16:55:27] EBITDA margin set via peak_half of trailing 5y (values: [48.7, 44.3, -12.5, 34.6, 46.5]) → 46.5%.</t>
        </is>
      </c>
    </row>
    <row r="245">
      <c r="A245" s="10" t="inlineStr">
        <is>
          <t>[16:55:27] ⚠ Terminal value = 94% of EV (target &lt;80%). Consider longer explicit forecast or lower terminal growth.</t>
        </is>
      </c>
    </row>
    <row r="246">
      <c r="A246" s="10" t="inlineStr">
        <is>
          <t>[16:55:27] EBITDA margin set via peak_half of trailing 5y (values: [48.7, 44.3, -12.5, 34.6, 46.5]) → 46.5%.</t>
        </is>
      </c>
    </row>
    <row r="247">
      <c r="A247" s="10" t="inlineStr">
        <is>
          <t>[16:55:27] ⚠ Terminal value = 88% of EV (target &lt;80%). Consider longer explicit forecast or lower terminal growth.</t>
        </is>
      </c>
    </row>
    <row r="248">
      <c r="A248" s="10" t="inlineStr">
        <is>
          <t>[16:55:27] EBITDA margin set via peak_half of trailing 5y (values: [48.7, 44.3, -12.5, 34.6, 46.5]) → 46.5%.</t>
        </is>
      </c>
    </row>
    <row r="249">
      <c r="A249" s="10" t="inlineStr">
        <is>
          <t>[16:55:27] ⚠ Terminal value = 88% of EV (target &lt;80%). Consider longer explicit forecast or lower terminal growth.</t>
        </is>
      </c>
    </row>
    <row r="250">
      <c r="A250" s="10" t="inlineStr">
        <is>
          <t>[16:55:27] EBITDA margin set via peak_half of trailing 5y (values: [48.7, 44.3, -12.5, 34.6, 46.5]) → 46.5%.</t>
        </is>
      </c>
    </row>
    <row r="251">
      <c r="A251" s="10" t="inlineStr">
        <is>
          <t>[16:55:27] ⚠ Terminal value = 88% of EV (target &lt;80%). Consider longer explicit forecast or lower terminal growth.</t>
        </is>
      </c>
    </row>
    <row r="252">
      <c r="A252" s="10" t="inlineStr">
        <is>
          <t>[16:55:27] EBITDA margin set via peak_half of trailing 5y (values: [48.7, 44.3, -12.5, 34.6, 46.5]) → 46.5%.</t>
        </is>
      </c>
    </row>
    <row r="253">
      <c r="A253" s="10" t="inlineStr">
        <is>
          <t>[16:55:27] ⚠ Terminal value = 88% of EV (target &lt;80%). Consider longer explicit forecast or lower terminal growth.</t>
        </is>
      </c>
    </row>
    <row r="254">
      <c r="A254" s="10" t="inlineStr">
        <is>
          <t>[16:55:27] EBITDA margin set via peak_half of trailing 5y (values: [48.7, 44.3, -12.5, 34.6, 46.5]) → 46.5%.</t>
        </is>
      </c>
    </row>
    <row r="255">
      <c r="A255" s="10" t="inlineStr">
        <is>
          <t>[16:55:27] ⚠ Terminal value = 89% of EV (target &lt;80%). Consider longer explicit forecast or lower terminal growth.</t>
        </is>
      </c>
    </row>
    <row r="256">
      <c r="A256" s="10" t="inlineStr">
        <is>
          <t>[16:55:27] EBITDA margin set via peak_half of trailing 5y (values: [48.7, 44.3, -12.5, 34.6, 46.5]) → 46.5%.</t>
        </is>
      </c>
    </row>
    <row r="257">
      <c r="A257" s="10" t="inlineStr">
        <is>
          <t>[16:55:27] ⚠ Terminal value = 89% of EV (target &lt;80%). Consider longer explicit forecast or lower terminal growth.</t>
        </is>
      </c>
    </row>
    <row r="258">
      <c r="A258" s="10" t="inlineStr">
        <is>
          <t>[16:55:27] EBITDA margin set via peak_half of trailing 5y (values: [48.7, 44.3, -12.5, 34.6, 46.5]) → 46.5%.</t>
        </is>
      </c>
    </row>
    <row r="259">
      <c r="A259" s="10" t="inlineStr">
        <is>
          <t>[16:55:27] EBITDA margin set via peak_half of trailing 5y (values: [48.7, 44.3, -12.5, 34.6, 46.5]) → 46.5%.</t>
        </is>
      </c>
    </row>
    <row r="260">
      <c r="A260" s="10" t="inlineStr">
        <is>
          <t>[16:55:27] EBITDA margin set via peak_half of trailing 5y (values: [48.7, 44.3, -12.5, 34.6, 46.5]) → 46.5%.</t>
        </is>
      </c>
    </row>
    <row r="261">
      <c r="A261" s="10" t="inlineStr">
        <is>
          <t>[16:55:27] EBITDA margin set via peak_half of trailing 5y (values: [48.7, 44.3, -12.5, 34.6, 46.5]) → 46.5%.</t>
        </is>
      </c>
    </row>
    <row r="262">
      <c r="A262" s="10" t="inlineStr">
        <is>
          <t>[16:55:27] EBITDA margin set via peak_half of trailing 5y (values: [48.7, 44.3, -12.5, 34.6, 46.5]) → 46.5%.</t>
        </is>
      </c>
    </row>
    <row r="263">
      <c r="A263" s="10" t="inlineStr">
        <is>
          <t>[16:55:27] ⚠ Terminal value = 85% of EV (target &lt;80%). Consider longer explicit forecast or lower terminal growth.</t>
        </is>
      </c>
    </row>
    <row r="264">
      <c r="A264" s="10" t="inlineStr">
        <is>
          <t>[16:55:27] EBITDA margin set via peak_half of trailing 5y (values: [48.7, 44.3, -12.5, 34.6, 46.5]) → 46.5%.</t>
        </is>
      </c>
    </row>
    <row r="265">
      <c r="A265" s="10" t="inlineStr">
        <is>
          <t>[16:55:27] ⚠ Terminal value = 86% of EV (target &lt;80%). Consider longer explicit forecast or lower terminal growth.</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2026-05-06T16:55:27Z</dcterms:created>
  <dcterms:modified xmlns:dcterms="http://purl.org/dc/terms/" xmlns:xsi="http://www.w3.org/2001/XMLSchema-instance" xsi:type="dcterms:W3CDTF">2026-05-06T16:55:28Z</dcterms:modified>
</cp:coreProperties>
</file>