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Cover" sheetId="1" state="visible" r:id="rId1"/>
    <sheet xmlns:r="http://schemas.openxmlformats.org/officeDocument/2006/relationships" name="Drivers" sheetId="2" state="visible" r:id="rId2"/>
    <sheet xmlns:r="http://schemas.openxmlformats.org/officeDocument/2006/relationships" name="Historicals" sheetId="3" state="visible" r:id="rId3"/>
    <sheet xmlns:r="http://schemas.openxmlformats.org/officeDocument/2006/relationships" name="Cycle Diagnostic" sheetId="4" state="visible" r:id="rId4"/>
    <sheet xmlns:r="http://schemas.openxmlformats.org/officeDocument/2006/relationships" name="Forecast" sheetId="5" state="visible" r:id="rId5"/>
    <sheet xmlns:r="http://schemas.openxmlformats.org/officeDocument/2006/relationships" name="3-Statement" sheetId="6" state="visible" r:id="rId6"/>
    <sheet xmlns:r="http://schemas.openxmlformats.org/officeDocument/2006/relationships" name="DCF" sheetId="7" state="visible" r:id="rId7"/>
    <sheet xmlns:r="http://schemas.openxmlformats.org/officeDocument/2006/relationships" name="LBO" sheetId="8" state="visible" r:id="rId8"/>
    <sheet xmlns:r="http://schemas.openxmlformats.org/officeDocument/2006/relationships" name="Returns Attribution" sheetId="9" state="visible" r:id="rId9"/>
    <sheet xmlns:r="http://schemas.openxmlformats.org/officeDocument/2006/relationships" name="M&amp;A" sheetId="10" state="visible" r:id="rId10"/>
    <sheet xmlns:r="http://schemas.openxmlformats.org/officeDocument/2006/relationships" name="Comps" sheetId="11" state="visible" r:id="rId11"/>
    <sheet xmlns:r="http://schemas.openxmlformats.org/officeDocument/2006/relationships" name="Sensitivity" sheetId="12" state="visible" r:id="rId12"/>
    <sheet xmlns:r="http://schemas.openxmlformats.org/officeDocument/2006/relationships" name="Football" sheetId="13" state="visible" r:id="rId13"/>
    <sheet xmlns:r="http://schemas.openxmlformats.org/officeDocument/2006/relationships" name="Reverse-DCF" sheetId="14" state="visible" r:id="rId14"/>
    <sheet xmlns:r="http://schemas.openxmlformats.org/officeDocument/2006/relationships" name="Reverse-LBO" sheetId="15" state="visible" r:id="rId15"/>
    <sheet xmlns:r="http://schemas.openxmlformats.org/officeDocument/2006/relationships" name="Sanity Checks" sheetId="16" state="visible" r:id="rId16"/>
    <sheet xmlns:r="http://schemas.openxmlformats.org/officeDocument/2006/relationships" name="Notes" sheetId="17" state="visible" r:id="rId17"/>
  </sheets>
  <definedNames>
    <definedName name="ib_betaT">Drivers!$B$26</definedName>
    <definedName name="ib_cxpct">Drivers!$B$18</definedName>
    <definedName name="ib_dapct">Drivers!$B$17</definedName>
    <definedName name="ib_EBDA1">Forecast!$C$5</definedName>
    <definedName name="ib_EBDA2">Forecast!$D$5</definedName>
    <definedName name="ib_EBDA3">Forecast!$E$5</definedName>
    <definedName name="ib_EBDA4">Forecast!$F$5</definedName>
    <definedName name="ib_EBDA5">Forecast!$G$5</definedName>
    <definedName name="ib_ebmgn">Drivers!$B$16</definedName>
    <definedName name="ib_entrym">Drivers!$B$35</definedName>
    <definedName name="ib_erp">Drivers!$B$24</definedName>
    <definedName name="ib_exitm">Drivers!$B$32</definedName>
    <definedName name="ib_FCF1">Forecast!$C$13</definedName>
    <definedName name="ib_FCF2">Forecast!$D$13</definedName>
    <definedName name="ib_FCF3">Forecast!$E$13</definedName>
    <definedName name="ib_FCF4">Forecast!$F$13</definedName>
    <definedName name="ib_FCF5">Forecast!$G$13</definedName>
    <definedName name="ib_grw1">Drivers!$B$11</definedName>
    <definedName name="ib_grw2">Drivers!$B$12</definedName>
    <definedName name="ib_grw3">Drivers!$B$13</definedName>
    <definedName name="ib_grw4">Drivers!$B$14</definedName>
    <definedName name="ib_grw5">Drivers!$B$15</definedName>
    <definedName name="ib_hold">Drivers!$B$38</definedName>
    <definedName name="ib_kdLBO">Drivers!$B$37</definedName>
    <definedName name="ib_leverage">Drivers!$B$36</definedName>
    <definedName name="ib_netdebt">Drivers!$B$7</definedName>
    <definedName name="ib_nwcpct">Drivers!$B$19</definedName>
    <definedName name="ib_px">Drivers!$B$6</definedName>
    <definedName name="ib_rf">Drivers!$B$23</definedName>
    <definedName name="ib_shares">Drivers!$B$5</definedName>
    <definedName name="ib_spread">Drivers!$B$27</definedName>
    <definedName name="ib_sweep">Drivers!$B$39</definedName>
    <definedName name="ib_tax">Drivers!$B$20</definedName>
    <definedName name="ib_tg">Drivers!$B$31</definedName>
    <definedName name="ib_WACC">DCF!$B$13</definedName>
    <definedName name="ib_wd">Drivers!$B$28</definedName>
  </definedNames>
  <calcPr calcId="124519" fullCalcOnLoad="1"/>
</workbook>
</file>

<file path=xl/styles.xml><?xml version="1.0" encoding="utf-8"?>
<styleSheet xmlns="http://schemas.openxmlformats.org/spreadsheetml/2006/main">
  <numFmts count="8">
    <numFmt numFmtId="164" formatCode="0.0%"/>
    <numFmt numFmtId="165" formatCode="0.00&quot;x&quot;"/>
    <numFmt numFmtId="166" formatCode="_($* #,##0.0,,,_);_($* (#,##0.0,,,);_($* &quot;-&quot;??_);_(@_)"/>
    <numFmt numFmtId="167" formatCode="#,##0,,"/>
    <numFmt numFmtId="168" formatCode="_($* #,##0.0,,,_);[Red]_($* (#,##0.0,,,)"/>
    <numFmt numFmtId="169" formatCode="$#,##0.00"/>
    <numFmt numFmtId="170" formatCode="#,##0&quot; bps&quot;"/>
    <numFmt numFmtId="171" formatCode="0.00&quot;×&quot;"/>
  </numFmts>
  <fonts count="14">
    <font>
      <name val="Calibri"/>
      <family val="2"/>
      <color theme="1"/>
      <sz val="11"/>
      <scheme val="minor"/>
    </font>
    <font>
      <name val="Calibri"/>
      <family val="2"/>
      <b val="1"/>
      <color rgb="FF0B3D91"/>
      <sz val="16"/>
      <scheme val="minor"/>
    </font>
    <font>
      <name val="Calibri"/>
      <family val="2"/>
      <b val="1"/>
      <color theme="1"/>
      <sz val="11"/>
      <scheme val="minor"/>
    </font>
    <font>
      <name val="Calibri"/>
      <family val="2"/>
      <b val="1"/>
      <color rgb="FFFFFFFF"/>
      <sz val="12"/>
      <scheme val="minor"/>
    </font>
    <font>
      <name val="Calibri"/>
      <family val="2"/>
      <i val="1"/>
      <color rgb="FF7F2700"/>
      <sz val="11"/>
      <scheme val="minor"/>
    </font>
    <font>
      <name val="Calibri"/>
      <family val="2"/>
      <i val="1"/>
      <color rgb="FF666666"/>
      <sz val="11"/>
      <scheme val="minor"/>
    </font>
    <font>
      <name val="Calibri"/>
      <family val="2"/>
      <b val="1"/>
      <color rgb="FFFFFFFF"/>
      <sz val="14"/>
      <scheme val="minor"/>
    </font>
    <font>
      <name val="Calibri"/>
      <family val="2"/>
      <i val="1"/>
      <color rgb="FF0B3D91"/>
      <sz val="11"/>
      <scheme val="minor"/>
    </font>
    <font>
      <name val="Calibri"/>
      <family val="2"/>
      <b val="1"/>
      <color rgb="FF0B3D91"/>
      <sz val="11"/>
      <scheme val="minor"/>
    </font>
    <font>
      <b val="1"/>
      <color rgb="FFFFFFFF"/>
      <sz val="14"/>
    </font>
    <font>
      <b val="1"/>
      <color rgb="FFFFFFFF"/>
      <sz val="12"/>
    </font>
    <font>
      <b val="1"/>
    </font>
    <font>
      <i val="1"/>
      <color rgb="FF666666"/>
    </font>
    <font>
      <i val="1"/>
    </font>
  </fonts>
  <fills count="15">
    <fill>
      <patternFill/>
    </fill>
    <fill>
      <patternFill patternType="gray125"/>
    </fill>
    <fill>
      <patternFill patternType="solid">
        <fgColor rgb="FF1F4E79"/>
        <bgColor indexed="64"/>
      </patternFill>
    </fill>
    <fill>
      <patternFill patternType="solid">
        <fgColor rgb="FFE2EFDA"/>
        <bgColor indexed="64"/>
      </patternFill>
    </fill>
    <fill>
      <patternFill patternType="solid">
        <fgColor rgb="FFFCE4D6"/>
        <bgColor indexed="64"/>
      </patternFill>
    </fill>
    <fill>
      <patternFill patternType="solid">
        <fgColor rgb="FF0B3D91"/>
        <bgColor indexed="64"/>
      </patternFill>
    </fill>
    <fill>
      <patternFill patternType="solid">
        <fgColor rgb="FFFFF2CC"/>
        <bgColor indexed="64"/>
      </patternFill>
    </fill>
    <fill>
      <patternFill patternType="solid">
        <fgColor rgb="FFD9E1F2"/>
        <bgColor indexed="64"/>
      </patternFill>
    </fill>
    <fill>
      <patternFill patternType="solid">
        <fgColor rgb="FFDDEBF7"/>
        <bgColor indexed="64"/>
      </patternFill>
    </fill>
    <fill>
      <patternFill patternType="solid">
        <fgColor rgb="FF0B3D91"/>
      </patternFill>
    </fill>
    <fill>
      <patternFill patternType="solid">
        <fgColor rgb="FF1F4E79"/>
      </patternFill>
    </fill>
    <fill>
      <patternFill patternType="solid">
        <fgColor rgb="FFE2EFDA"/>
      </patternFill>
    </fill>
    <fill>
      <patternFill patternType="solid">
        <fgColor rgb="FFD9E1F2"/>
      </patternFill>
    </fill>
    <fill>
      <patternFill patternType="solid">
        <fgColor rgb="FFFCE4D6"/>
      </patternFill>
    </fill>
    <fill>
      <patternFill patternType="solid">
        <fgColor rgb="FFFFF2CC"/>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applyAlignment="1" pivotButton="0" quotePrefix="0" xfId="0">
      <alignment horizontal="left"/>
    </xf>
    <xf numFmtId="164" fontId="0" fillId="0" borderId="0" pivotButton="0" quotePrefix="0" xfId="0"/>
    <xf numFmtId="0" fontId="3" fillId="2" borderId="1" applyAlignment="1" pivotButton="0" quotePrefix="0" xfId="0">
      <alignment horizontal="left"/>
    </xf>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4" fillId="4" borderId="0" pivotButton="0" quotePrefix="0" xfId="0"/>
    <xf numFmtId="0" fontId="5" fillId="0" borderId="0" applyAlignment="1" pivotButton="0" quotePrefix="0" xfId="0">
      <alignment vertical="top" wrapText="1"/>
    </xf>
    <xf numFmtId="0" fontId="6" fillId="5" borderId="1" applyAlignment="1" pivotButton="0" quotePrefix="0" xfId="0">
      <alignment horizontal="left"/>
    </xf>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0" fontId="2" fillId="7" borderId="1" applyAlignment="1" pivotButton="0" quotePrefix="0" xfId="0">
      <alignment horizontal="center"/>
    </xf>
    <xf numFmtId="167" fontId="0" fillId="0" borderId="0" pivotButton="0" quotePrefix="0" xfId="0"/>
    <xf numFmtId="3" fontId="0" fillId="0" borderId="0" pivotButton="0" quotePrefix="0" xfId="0"/>
    <xf numFmtId="0" fontId="8" fillId="0" borderId="0" pivotButton="0" quotePrefix="0" xfId="0"/>
    <xf numFmtId="10" fontId="0" fillId="0" borderId="0" pivotButton="0" quotePrefix="0" xfId="0"/>
    <xf numFmtId="0" fontId="0" fillId="8" borderId="0" pivotButton="0" quotePrefix="0" xfId="0"/>
    <xf numFmtId="0" fontId="0" fillId="0" borderId="4" pivotButton="0" quotePrefix="0" xfId="0"/>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0" fillId="0" borderId="5" pivotButton="0" quotePrefix="0" xfId="0"/>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167" fontId="0" fillId="0" borderId="0" pivotButton="0" quotePrefix="0" xfId="0"/>
    <xf numFmtId="3" fontId="0" fillId="0" borderId="0" pivotButton="0" quotePrefix="0" xfId="0"/>
    <xf numFmtId="10" fontId="0" fillId="0" borderId="0" pivotButton="0" quotePrefix="0" xfId="0"/>
    <xf numFmtId="0" fontId="9" fillId="9" borderId="0" pivotButton="0" quotePrefix="0" xfId="0"/>
    <xf numFmtId="0" fontId="10" fillId="10" borderId="0" pivotButton="0" quotePrefix="0" xfId="0"/>
    <xf numFmtId="0" fontId="11" fillId="0" borderId="0" pivotButton="0" quotePrefix="0" xfId="0"/>
    <xf numFmtId="168" fontId="11" fillId="0" borderId="0" pivotButton="0" quotePrefix="0" xfId="0"/>
    <xf numFmtId="169" fontId="11" fillId="0" borderId="0" pivotButton="0" quotePrefix="0" xfId="0"/>
    <xf numFmtId="10" fontId="11" fillId="11" borderId="0" pivotButton="0" quotePrefix="0" xfId="0"/>
    <xf numFmtId="170" fontId="11" fillId="0" borderId="0" pivotButton="0" quotePrefix="0" xfId="0"/>
    <xf numFmtId="164" fontId="11" fillId="11" borderId="0" pivotButton="0" quotePrefix="0" xfId="0"/>
    <xf numFmtId="0" fontId="12" fillId="0" borderId="0" applyAlignment="1" pivotButton="0" quotePrefix="0" xfId="0">
      <alignment vertical="top" wrapText="1"/>
    </xf>
    <xf numFmtId="0" fontId="11" fillId="12" borderId="0" pivotButton="0" quotePrefix="0" xfId="0"/>
    <xf numFmtId="0" fontId="11" fillId="12" borderId="0" applyAlignment="1" pivotButton="0" quotePrefix="0" xfId="0">
      <alignment horizontal="center"/>
    </xf>
    <xf numFmtId="171" fontId="0" fillId="13" borderId="0" pivotButton="0" quotePrefix="0" xfId="0"/>
    <xf numFmtId="171" fontId="0" fillId="0" borderId="0" pivotButton="0" quotePrefix="0" xfId="0"/>
    <xf numFmtId="171" fontId="0" fillId="11" borderId="0" pivotButton="0" quotePrefix="0" xfId="0"/>
    <xf numFmtId="171" fontId="0" fillId="14" borderId="0" pivotButton="0" quotePrefix="0" xfId="0"/>
    <xf numFmtId="164" fontId="0" fillId="14" borderId="0" pivotButton="0" quotePrefix="0" xfId="0"/>
    <xf numFmtId="0" fontId="13" fillId="0" borderId="0" pivotButton="0" quotePrefix="0" xfId="0"/>
    <xf numFmtId="164" fontId="0" fillId="1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Football Field — $/Share</a:t>
            </a:r>
          </a:p>
        </rich>
      </tx>
      <layout/>
    </title>
    <plotArea>
      <layout/>
      <barChart>
        <barDir val="bar"/>
        <grouping val="clustered"/>
        <ser>
          <idx val="0"/>
          <order val="0"/>
          <tx>
            <v>Range (Low → High)</v>
          </tx>
          <spPr>
            <a:solidFill xmlns:a="http://schemas.openxmlformats.org/drawingml/2006/main">
              <a:srgbClr val="0B3D91"/>
            </a:solidFill>
            <a:ln xmlns:a="http://schemas.openxmlformats.org/drawingml/2006/main">
              <a:prstDash val="solid"/>
            </a:ln>
          </spPr>
          <cat>
            <strRef>
              <f>Football!$A$5:$A$9</f>
              <strCache>
                <ptCount val="5"/>
                <pt idx="0">
                  <v>52-Week Trading Range</v>
                </pt>
                <pt idx="1">
                  <v>DCF (WACC ±100bps)</v>
                </pt>
                <pt idx="2">
                  <v>Comps EV/EBITDA (p25 / median / p75)</v>
                </pt>
                <pt idx="3">
                  <v>Comps P/E (p25 / median / p75)</v>
                </pt>
                <pt idx="4">
                  <v>LBO (sponsor IRR 25% → 15%)</v>
                </pt>
              </strCache>
            </strRef>
          </cat>
          <val>
            <numRef>
              <f>Football!$D$5:$D$9</f>
              <numCache>
                <formatCode>General</formatCode>
                <ptCount val="5"/>
                <pt idx="0">
                  <v>127.8868910254921</v>
                </pt>
                <pt idx="1">
                  <v>97.35764107788042</v>
                </pt>
                <pt idx="2">
                  <v>478.2067597153804</v>
                </pt>
                <pt idx="3">
                  <v>542.9616935483872</v>
                </pt>
                <pt idx="4">
                  <v>113.6494861714309</v>
                </pt>
              </numCache>
            </numRef>
          </val>
        </ser>
        <gapWidth val="150"/>
        <axId val="50010001"/>
        <axId val="50010002"/>
      </barChart>
      <catAx>
        <axId val="50010001"/>
        <scaling>
          <orientation val="minMax"/>
        </scaling>
        <axPos val="l"/>
        <majorTickMark val="none"/>
        <minorTickMark val="none"/>
        <tickLblPos val="nextTo"/>
        <crossAx val="50010002"/>
        <crosses val="autoZero"/>
        <auto val="1"/>
        <lblAlgn val="ctr"/>
        <lblOffset val="100"/>
      </catAx>
      <valAx>
        <axId val="50010002"/>
        <scaling>
          <orientation val="minMax"/>
        </scaling>
        <axPos val="b"/>
        <majorGridlines/>
        <numFmt formatCode="General" sourceLinked="1"/>
        <majorTickMark val="none"/>
        <minorTickMark val="none"/>
        <tickLblPos val="nextTo"/>
        <crossAx val="50010001"/>
        <crosses val="autoZero"/>
        <crossBetween val="between"/>
      </valAx>
    </plotArea>
    <legend>
      <legendPos val="r"/>
      <layout/>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6</col>
      <colOff>0</colOff>
      <row>2</row>
      <rowOff>0</rowOff>
    </from>
    <to>
      <col>17</col>
      <colOff>152400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33"/>
  <sheetViews>
    <sheetView tabSelected="1" workbookViewId="0">
      <selection activeCell="A1" sqref="A1"/>
    </sheetView>
  </sheetViews>
  <sheetFormatPr baseColWidth="8" defaultRowHeight="15"/>
  <cols>
    <col width="32.7109375" customWidth="1" min="1" max="1"/>
    <col width="60.7109375" customWidth="1" min="2" max="2"/>
  </cols>
  <sheetData>
    <row r="1">
      <c r="A1" s="1" t="inlineStr">
        <is>
          <t>Micron Technology, Inc. (MU) — IB Valuation Template</t>
        </is>
      </c>
    </row>
    <row r="3">
      <c r="A3" s="2" t="inlineStr">
        <is>
          <t>Sector / Industry</t>
        </is>
      </c>
      <c r="B3" t="inlineStr">
        <is>
          <t>Technology / Semiconductors</t>
        </is>
      </c>
    </row>
    <row r="4">
      <c r="A4" s="2" t="inlineStr">
        <is>
          <t>Reporting Currency</t>
        </is>
      </c>
      <c r="B4" t="inlineStr">
        <is>
          <t>USD</t>
        </is>
      </c>
    </row>
    <row r="5">
      <c r="A5" s="2" t="inlineStr">
        <is>
          <t>Fiscal Year End</t>
        </is>
      </c>
      <c r="B5" t="inlineStr">
        <is>
          <t>2025-08-31</t>
        </is>
      </c>
    </row>
    <row r="6">
      <c r="A6" s="2" t="inlineStr">
        <is>
          <t>As-of Date</t>
        </is>
      </c>
      <c r="B6" t="inlineStr">
        <is>
          <t>2026-05-06</t>
        </is>
      </c>
    </row>
    <row r="7">
      <c r="A7" s="2" t="inlineStr">
        <is>
          <t>Industry Preset</t>
        </is>
      </c>
      <c r="B7" t="inlineStr">
        <is>
          <t>semiconductors</t>
        </is>
      </c>
    </row>
    <row r="8">
      <c r="A8" s="2" t="inlineStr">
        <is>
          <t>Mid-cycle method</t>
        </is>
      </c>
      <c r="B8" t="inlineStr">
        <is>
          <t>winsorize</t>
        </is>
      </c>
    </row>
    <row r="10">
      <c r="A10" s="2" t="inlineStr">
        <is>
          <t>Cycle phase</t>
        </is>
      </c>
      <c r="B10" t="inlineStr">
        <is>
          <t>Near peak</t>
        </is>
      </c>
    </row>
    <row r="11">
      <c r="A11" s="2" t="inlineStr">
        <is>
          <t>Position in margin range</t>
        </is>
      </c>
      <c r="B11" s="3" t="n">
        <v>0.9640387710165633</v>
      </c>
    </row>
    <row r="12">
      <c r="A12" s="2" t="inlineStr">
        <is>
          <t>Latest EBITDA margin</t>
        </is>
      </c>
      <c r="B12" s="3" t="n">
        <v>0.4647887323943662</v>
      </c>
    </row>
    <row r="13">
      <c r="A13" s="2" t="inlineStr">
        <is>
          <t>5y peak margin</t>
        </is>
      </c>
      <c r="B13" s="3" t="n">
        <v>0.4868074354809601</v>
      </c>
    </row>
    <row r="14">
      <c r="A14" s="2" t="inlineStr">
        <is>
          <t>5y trough margin</t>
        </is>
      </c>
      <c r="B14" s="3" t="n">
        <v>-0.1254826254826255</v>
      </c>
    </row>
    <row r="16">
      <c r="A16" s="4" t="inlineStr">
        <is>
          <t>Headline outputs (linked)</t>
        </is>
      </c>
      <c r="B16" s="22" t="n"/>
    </row>
    <row r="17">
      <c r="A17" s="2" t="inlineStr">
        <is>
          <t>Current Market Price</t>
        </is>
      </c>
      <c r="B17" s="23" t="n">
        <v>108.45</v>
      </c>
    </row>
    <row r="18">
      <c r="A18" s="2" t="inlineStr">
        <is>
          <t>DCF Implied Price</t>
        </is>
      </c>
      <c r="B18" s="24">
        <f>DCF!B40</f>
        <v/>
      </c>
    </row>
    <row r="19">
      <c r="A19" s="2" t="inlineStr">
        <is>
          <t>DCF Upside / (Downside)</t>
        </is>
      </c>
      <c r="B19" s="25">
        <f>B18/B17-1</f>
        <v/>
      </c>
    </row>
    <row r="20">
      <c r="A20" s="2" t="inlineStr">
        <is>
          <t>LBO Sponsor IRR</t>
        </is>
      </c>
      <c r="B20" s="25">
        <f>LBO!B40</f>
        <v/>
      </c>
    </row>
    <row r="21">
      <c r="A21" s="2" t="inlineStr">
        <is>
          <t>LBO Sponsor MOIC</t>
        </is>
      </c>
      <c r="B21" s="26">
        <f>LBO!B41</f>
        <v/>
      </c>
    </row>
    <row r="23">
      <c r="A23" s="2" t="inlineStr">
        <is>
          <t>Sanity check status</t>
        </is>
      </c>
      <c r="B23" s="9" t="inlineStr">
        <is>
          <t>0 errors, 1 warnings — see Sanity Checks tab</t>
        </is>
      </c>
    </row>
    <row r="25">
      <c r="A25" s="4" t="inlineStr">
        <is>
          <t>How to use this workbook</t>
        </is>
      </c>
      <c r="B25" s="22" t="n"/>
    </row>
    <row r="26">
      <c r="A26" s="10" t="inlineStr">
        <is>
          <t>1. Yellow cells (Drivers tab) are the editable inputs — every other tab references them.
2. Edit any yellow cell to see the model recalculate live.
3. Cycle Diagnostic tab shows where the company sits in its own margin range.
4. Sanity Checks tab auto-flags issues (negative FCF, leverage breach, etc.).
5. To value a different company, open the notebook, change the TICKER cell, and Run All.
6. Notes tab logs every fallback or imputation used.</t>
        </is>
      </c>
    </row>
    <row r="27"/>
    <row r="28"/>
    <row r="29"/>
    <row r="30"/>
    <row r="31"/>
    <row r="32"/>
    <row r="33"/>
  </sheetData>
  <mergeCells count="4">
    <mergeCell ref="A25:B25"/>
    <mergeCell ref="A16:B16"/>
    <mergeCell ref="A26:B33"/>
    <mergeCell ref="A1:B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38.7109375" customWidth="1" min="1" max="1"/>
    <col width="18.7109375" customWidth="1" min="2" max="2"/>
    <col width="60.7109375" customWidth="1" min="3" max="3"/>
  </cols>
  <sheetData>
    <row r="1">
      <c r="A1" s="11" t="inlineStr">
        <is>
          <t>DRIVERS — every yellow cell is editable</t>
        </is>
      </c>
      <c r="B1" s="27" t="n"/>
      <c r="C1" s="22" t="n"/>
    </row>
    <row r="3">
      <c r="A3" s="4" t="inlineStr">
        <is>
          <t>Company snapshot</t>
        </is>
      </c>
      <c r="B3" s="27" t="n"/>
      <c r="C3" s="22" t="n"/>
    </row>
    <row r="4">
      <c r="A4" s="2" t="inlineStr">
        <is>
          <t>Ticker</t>
        </is>
      </c>
      <c r="B4" s="28" t="inlineStr">
        <is>
          <t>MU</t>
        </is>
      </c>
    </row>
    <row r="5">
      <c r="A5" s="2" t="inlineStr">
        <is>
          <t>Shares Outstanding</t>
        </is>
      </c>
      <c r="B5" s="28" t="n">
        <v>1120000000</v>
      </c>
    </row>
    <row r="6">
      <c r="A6" s="2" t="inlineStr">
        <is>
          <t>Current Share Price</t>
        </is>
      </c>
      <c r="B6" s="29" t="n">
        <v>108.45</v>
      </c>
    </row>
    <row r="7">
      <c r="A7" s="2" t="inlineStr">
        <is>
          <t>Net Debt (latest)</t>
        </is>
      </c>
      <c r="B7" s="30" t="n">
        <v>3850000000</v>
      </c>
    </row>
    <row r="8">
      <c r="A8" s="2" t="inlineStr">
        <is>
          <t>Beta (observed equity)</t>
        </is>
      </c>
      <c r="B8" s="29" t="n">
        <v>1.27</v>
      </c>
    </row>
    <row r="10">
      <c r="A10" s="4" t="inlineStr">
        <is>
          <t>Operating drivers (Forecast uses these)</t>
        </is>
      </c>
      <c r="B10" s="27" t="n"/>
      <c r="C10" s="22" t="n"/>
    </row>
    <row r="11">
      <c r="A11" s="2" t="inlineStr">
        <is>
          <t>Revenue Growth Y1</t>
        </is>
      </c>
      <c r="B11" s="31" t="n">
        <v>0.2</v>
      </c>
    </row>
    <row r="12">
      <c r="A12" s="2" t="inlineStr">
        <is>
          <t>Revenue Growth Y2</t>
        </is>
      </c>
      <c r="B12" s="31" t="n">
        <v>0.1</v>
      </c>
    </row>
    <row r="13">
      <c r="A13" s="2" t="inlineStr">
        <is>
          <t>Revenue Growth Y3</t>
        </is>
      </c>
      <c r="B13" s="31" t="n">
        <v>0.05</v>
      </c>
    </row>
    <row r="14">
      <c r="A14" s="2" t="inlineStr">
        <is>
          <t>Revenue Growth Y4</t>
        </is>
      </c>
      <c r="B14" s="31" t="n">
        <v>0.04</v>
      </c>
    </row>
    <row r="15">
      <c r="A15" s="2" t="inlineStr">
        <is>
          <t>Revenue Growth Y5</t>
        </is>
      </c>
      <c r="B15" s="31" t="n">
        <v>0.03</v>
      </c>
    </row>
    <row r="16">
      <c r="A16" s="2" t="inlineStr">
        <is>
          <t>EBITDA Margin (mid-cycle)</t>
        </is>
      </c>
      <c r="B16" s="31" t="n">
        <v>0.4179231539480097</v>
      </c>
      <c r="C16" s="10" t="inlineStr">
        <is>
          <t>5y mid-cycle (winsorize)</t>
        </is>
      </c>
    </row>
    <row r="17">
      <c r="A17" s="2" t="inlineStr">
        <is>
          <t>D&amp;A % Revenue</t>
        </is>
      </c>
      <c r="B17" s="31" t="n">
        <v>0.15</v>
      </c>
    </row>
    <row r="18">
      <c r="A18" s="2" t="inlineStr">
        <is>
          <t>Capex % Revenue</t>
        </is>
      </c>
      <c r="B18" s="31" t="n">
        <v>0.25</v>
      </c>
    </row>
    <row r="19">
      <c r="A19" s="2" t="inlineStr">
        <is>
          <t>NWC % Δ Revenue</t>
        </is>
      </c>
      <c r="B19" s="31" t="n">
        <v>0.18</v>
      </c>
    </row>
    <row r="20">
      <c r="A20" s="2" t="inlineStr">
        <is>
          <t>Effective Tax Rate</t>
        </is>
      </c>
      <c r="B20" s="31" t="n">
        <v>0.15</v>
      </c>
    </row>
    <row r="22">
      <c r="A22" s="4" t="inlineStr">
        <is>
          <t>WACC inputs</t>
        </is>
      </c>
      <c r="B22" s="27" t="n"/>
      <c r="C22" s="22" t="n"/>
    </row>
    <row r="23">
      <c r="A23" s="2" t="inlineStr">
        <is>
          <t>Risk-free rate</t>
        </is>
      </c>
      <c r="B23" s="31" t="n">
        <v>0.04</v>
      </c>
    </row>
    <row r="24">
      <c r="A24" s="2" t="inlineStr">
        <is>
          <t>Equity risk premium</t>
        </is>
      </c>
      <c r="B24" s="31" t="n">
        <v>0.055</v>
      </c>
    </row>
    <row r="25">
      <c r="A25" s="2" t="inlineStr">
        <is>
          <t>Asset beta (delevered)</t>
        </is>
      </c>
      <c r="B25" s="23" t="n">
        <v>1.157815753437506</v>
      </c>
    </row>
    <row r="26">
      <c r="A26" s="2" t="inlineStr">
        <is>
          <t>Re-levered β @ target</t>
        </is>
      </c>
      <c r="B26" s="23" t="n">
        <v>1.403851601042976</v>
      </c>
    </row>
    <row r="27">
      <c r="A27" s="2" t="inlineStr">
        <is>
          <t>Credit spread (bps)</t>
        </is>
      </c>
      <c r="B27" s="28" t="n">
        <v>200</v>
      </c>
    </row>
    <row r="28">
      <c r="A28" s="2" t="inlineStr">
        <is>
          <t>Target Debt / EV</t>
        </is>
      </c>
      <c r="B28" s="31" t="n">
        <v>0.2</v>
      </c>
    </row>
    <row r="30">
      <c r="A30" s="4" t="inlineStr">
        <is>
          <t>Terminal value</t>
        </is>
      </c>
      <c r="B30" s="27" t="n"/>
      <c r="C30" s="22" t="n"/>
    </row>
    <row r="31">
      <c r="A31" s="2" t="inlineStr">
        <is>
          <t>Terminal Growth (Gordon)</t>
        </is>
      </c>
      <c r="B31" s="31" t="n">
        <v>0.025</v>
      </c>
    </row>
    <row r="32">
      <c r="A32" s="2" t="inlineStr">
        <is>
          <t>Exit EBITDA Multiple</t>
        </is>
      </c>
      <c r="B32" s="29" t="n">
        <v>8</v>
      </c>
    </row>
    <row r="34">
      <c r="A34" s="4" t="inlineStr">
        <is>
          <t>LBO assumptions</t>
        </is>
      </c>
      <c r="B34" s="27" t="n"/>
      <c r="C34" s="22" t="n"/>
    </row>
    <row r="35">
      <c r="A35" s="2" t="inlineStr">
        <is>
          <t>Entry EBITDA Multiple</t>
        </is>
      </c>
      <c r="B35" s="29" t="n">
        <v>8</v>
      </c>
    </row>
    <row r="36">
      <c r="A36" s="2" t="inlineStr">
        <is>
          <t>Debt / EBITDA at close</t>
        </is>
      </c>
      <c r="B36" s="29" t="n">
        <v>4.5</v>
      </c>
    </row>
    <row r="37">
      <c r="A37" s="2" t="inlineStr">
        <is>
          <t>Cost of LBO debt</t>
        </is>
      </c>
      <c r="B37" s="31" t="n">
        <v>0.08500000000000001</v>
      </c>
    </row>
    <row r="38">
      <c r="A38" s="2" t="inlineStr">
        <is>
          <t>Hold period (yrs)</t>
        </is>
      </c>
      <c r="B38" s="28" t="n">
        <v>5</v>
      </c>
    </row>
    <row r="39">
      <c r="A39" s="2" t="inlineStr">
        <is>
          <t>Cash sweep %</t>
        </is>
      </c>
      <c r="B39" s="31" t="n">
        <v>0.75</v>
      </c>
    </row>
  </sheetData>
  <mergeCells count="6">
    <mergeCell ref="A10:C10"/>
    <mergeCell ref="A1:C1"/>
    <mergeCell ref="A22:C22"/>
    <mergeCell ref="A3:C3"/>
    <mergeCell ref="A30:C30"/>
    <mergeCell ref="A34:C3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32.7109375" customWidth="1" min="1" max="1"/>
    <col width="16.7109375" customWidth="1" min="2" max="8"/>
  </cols>
  <sheetData>
    <row r="1">
      <c r="A1" s="11" t="inlineStr">
        <is>
          <t>Historical Financials (sourced: yfinance)</t>
        </is>
      </c>
      <c r="B1" s="27" t="n"/>
      <c r="C1" s="27" t="n"/>
      <c r="D1" s="27" t="n"/>
      <c r="E1" s="27" t="n"/>
      <c r="F1" s="27" t="n"/>
      <c r="G1" s="27" t="n"/>
      <c r="H1" s="22" t="n"/>
    </row>
    <row r="2">
      <c r="A2" s="16" t="inlineStr">
        <is>
          <t>Line Item</t>
        </is>
      </c>
      <c r="B2" s="16" t="inlineStr">
        <is>
          <t>2021-08-31</t>
        </is>
      </c>
      <c r="C2" s="16" t="inlineStr">
        <is>
          <t>2022-08-31</t>
        </is>
      </c>
      <c r="D2" s="16" t="inlineStr">
        <is>
          <t>2023-08-31</t>
        </is>
      </c>
      <c r="E2" s="16" t="inlineStr">
        <is>
          <t>2024-08-31</t>
        </is>
      </c>
      <c r="F2" s="16" t="inlineStr">
        <is>
          <t>2025-08-31</t>
        </is>
      </c>
    </row>
    <row r="3">
      <c r="A3" s="2" t="inlineStr">
        <is>
          <t>Revenue</t>
        </is>
      </c>
      <c r="B3" s="32" t="n">
        <v>27705000000</v>
      </c>
      <c r="C3" s="32" t="n">
        <v>30758000000</v>
      </c>
      <c r="D3" s="32" t="n">
        <v>15540000000</v>
      </c>
      <c r="E3" s="32" t="n">
        <v>25111000000</v>
      </c>
      <c r="F3" s="32" t="n">
        <v>35500000000</v>
      </c>
    </row>
    <row r="4">
      <c r="A4" s="2" t="inlineStr">
        <is>
          <t>YoY Growth %</t>
        </is>
      </c>
      <c r="C4" s="3" t="n">
        <v>0.1101967153943331</v>
      </c>
      <c r="D4" s="3" t="n">
        <v>-0.4947655894401457</v>
      </c>
      <c r="E4" s="3" t="n">
        <v>0.6158944658944658</v>
      </c>
      <c r="F4" s="3" t="n">
        <v>0.4137230695711043</v>
      </c>
    </row>
    <row r="5">
      <c r="A5" s="2" t="inlineStr">
        <is>
          <t>Gross Profit</t>
        </is>
      </c>
      <c r="B5" s="32" t="n">
        <v>8533000000</v>
      </c>
      <c r="C5" s="32" t="n">
        <v>11740000000</v>
      </c>
      <c r="D5" s="32" t="n">
        <v>-1416000000</v>
      </c>
      <c r="E5" s="32" t="n">
        <v>5611000000</v>
      </c>
      <c r="F5" s="32" t="n">
        <v>13500000000</v>
      </c>
    </row>
    <row r="6">
      <c r="A6" s="2" t="inlineStr">
        <is>
          <t>Gross Margin %</t>
        </is>
      </c>
      <c r="B6" s="3" t="n">
        <v>0.3079949467605125</v>
      </c>
      <c r="C6" s="3" t="n">
        <v>0.3816893166005592</v>
      </c>
      <c r="D6" s="3" t="n">
        <v>-0.09111969111969112</v>
      </c>
      <c r="E6" s="3" t="n">
        <v>0.2234478913623511</v>
      </c>
      <c r="F6" s="3" t="n">
        <v>0.3802816901408451</v>
      </c>
    </row>
    <row r="7">
      <c r="A7" s="2" t="inlineStr">
        <is>
          <t>EBITDA</t>
        </is>
      </c>
      <c r="B7" s="32" t="n">
        <v>13487000000</v>
      </c>
      <c r="C7" s="32" t="n">
        <v>13611000000</v>
      </c>
      <c r="D7" s="32" t="n">
        <v>-1950000000</v>
      </c>
      <c r="E7" s="32" t="n">
        <v>8700000000</v>
      </c>
      <c r="F7" s="32" t="n">
        <v>16500000000</v>
      </c>
    </row>
    <row r="8">
      <c r="A8" s="2" t="inlineStr">
        <is>
          <t>EBITDA Margin %</t>
        </is>
      </c>
      <c r="B8" s="3" t="n">
        <v>0.4868074354809601</v>
      </c>
      <c r="C8" s="3" t="n">
        <v>0.4425190194420964</v>
      </c>
      <c r="D8" s="3" t="n">
        <v>-0.1254826254826255</v>
      </c>
      <c r="E8" s="3" t="n">
        <v>0.3464617100075664</v>
      </c>
      <c r="F8" s="3" t="n">
        <v>0.4647887323943662</v>
      </c>
    </row>
    <row r="9">
      <c r="A9" s="2" t="inlineStr">
        <is>
          <t>EBIT</t>
        </is>
      </c>
      <c r="B9" s="32" t="n">
        <v>6811000000</v>
      </c>
      <c r="C9" s="32" t="n">
        <v>8911000000</v>
      </c>
      <c r="D9" s="32" t="n">
        <v>-5745000000</v>
      </c>
      <c r="E9" s="32" t="n">
        <v>811000000</v>
      </c>
      <c r="F9" s="32" t="n">
        <v>8300000000</v>
      </c>
    </row>
    <row r="10">
      <c r="A10" s="2" t="inlineStr">
        <is>
          <t>EBIT Margin %</t>
        </is>
      </c>
      <c r="B10" s="3" t="n">
        <v>0.2458401010647898</v>
      </c>
      <c r="C10" s="3" t="n">
        <v>0.2897132453345471</v>
      </c>
      <c r="D10" s="3" t="n">
        <v>-0.3696911196911196</v>
      </c>
      <c r="E10" s="3" t="n">
        <v>0.03229660308231452</v>
      </c>
      <c r="F10" s="3" t="n">
        <v>0.2338028169014084</v>
      </c>
    </row>
    <row r="11">
      <c r="A11" s="2" t="inlineStr">
        <is>
          <t>D&amp;A</t>
        </is>
      </c>
      <c r="B11" s="32" t="n">
        <v>6676000000</v>
      </c>
      <c r="C11" s="32" t="n">
        <v>4700000000</v>
      </c>
      <c r="D11" s="32" t="n">
        <v>3795000000</v>
      </c>
      <c r="E11" s="32" t="n">
        <v>7889000000</v>
      </c>
      <c r="F11" s="32" t="n">
        <v>8200000000</v>
      </c>
    </row>
    <row r="12">
      <c r="A12" s="2" t="inlineStr">
        <is>
          <t>D&amp;A % Revenue</t>
        </is>
      </c>
      <c r="B12" s="3" t="n">
        <v>0.2409673344161704</v>
      </c>
      <c r="C12" s="3" t="n">
        <v>0.1528057741075493</v>
      </c>
      <c r="D12" s="3" t="n">
        <v>0.2442084942084942</v>
      </c>
      <c r="E12" s="3" t="n">
        <v>0.3141651069252519</v>
      </c>
      <c r="F12" s="3" t="n">
        <v>0.2309859154929578</v>
      </c>
    </row>
    <row r="13">
      <c r="A13" s="2" t="inlineStr">
        <is>
          <t>Net Income</t>
        </is>
      </c>
      <c r="B13" s="32" t="n">
        <v>5861000000</v>
      </c>
      <c r="C13" s="32" t="n">
        <v>8687000000</v>
      </c>
      <c r="D13" s="32" t="n">
        <v>-5833000000</v>
      </c>
      <c r="E13" s="32" t="n">
        <v>778000000</v>
      </c>
      <c r="F13" s="32" t="n">
        <v>7220000000</v>
      </c>
    </row>
    <row r="14">
      <c r="A14" s="2" t="inlineStr">
        <is>
          <t>Net Margin %</t>
        </is>
      </c>
      <c r="B14" s="3" t="n">
        <v>0.2115502616856163</v>
      </c>
      <c r="C14" s="3" t="n">
        <v>0.282430587164315</v>
      </c>
      <c r="D14" s="3" t="n">
        <v>-0.3753539253539254</v>
      </c>
      <c r="E14" s="3" t="n">
        <v>0.03098243797538927</v>
      </c>
      <c r="F14" s="3" t="n">
        <v>0.2033802816901408</v>
      </c>
    </row>
    <row r="15">
      <c r="A15" s="2" t="inlineStr">
        <is>
          <t>Diluted EPS</t>
        </is>
      </c>
      <c r="B15" s="32" t="n">
        <v>5.14</v>
      </c>
      <c r="C15" s="32" t="n">
        <v>7.79</v>
      </c>
      <c r="D15" s="32" t="n">
        <v>-5.34</v>
      </c>
      <c r="E15" s="32" t="n">
        <v>0.7</v>
      </c>
      <c r="F15" s="32" t="n">
        <v>6.45</v>
      </c>
    </row>
    <row r="16">
      <c r="A16" s="2" t="inlineStr">
        <is>
          <t>Capex</t>
        </is>
      </c>
      <c r="B16" s="32" t="n">
        <v>9704000000</v>
      </c>
      <c r="C16" s="32" t="n">
        <v>12067000000</v>
      </c>
      <c r="D16" s="32" t="n">
        <v>7676000000</v>
      </c>
      <c r="E16" s="32" t="n">
        <v>8186000000</v>
      </c>
      <c r="F16" s="32" t="n">
        <v>10500000000</v>
      </c>
    </row>
    <row r="17">
      <c r="A17" s="2" t="inlineStr">
        <is>
          <t>Capex % Revenue</t>
        </is>
      </c>
      <c r="B17" s="3" t="n">
        <v>0.3502616856163148</v>
      </c>
      <c r="C17" s="3" t="n">
        <v>0.3923206970544248</v>
      </c>
      <c r="D17" s="3" t="n">
        <v>0.4939510939510939</v>
      </c>
      <c r="E17" s="3" t="n">
        <v>0.3259925928875791</v>
      </c>
      <c r="F17" s="3" t="n">
        <v>0.2957746478873239</v>
      </c>
    </row>
    <row r="18">
      <c r="A18" s="2" t="inlineStr">
        <is>
          <t>Operating Cash Flow</t>
        </is>
      </c>
      <c r="B18" s="32" t="n">
        <v>12468000000</v>
      </c>
      <c r="C18" s="32" t="n">
        <v>15181000000</v>
      </c>
      <c r="D18" s="32" t="n">
        <v>1559000000</v>
      </c>
      <c r="E18" s="32" t="n">
        <v>8507000000</v>
      </c>
      <c r="F18" s="32" t="n">
        <v>14200000000</v>
      </c>
    </row>
    <row r="19">
      <c r="A19" s="2" t="inlineStr">
        <is>
          <t>OCF % Revenue</t>
        </is>
      </c>
      <c r="B19" s="3" t="n">
        <v>0.4500270709258257</v>
      </c>
      <c r="C19" s="3" t="n">
        <v>0.4935626503673841</v>
      </c>
      <c r="D19" s="3" t="n">
        <v>0.1003217503217503</v>
      </c>
      <c r="E19" s="3" t="n">
        <v>0.3387758352913066</v>
      </c>
      <c r="F19" s="3" t="n">
        <v>0.4</v>
      </c>
    </row>
    <row r="20">
      <c r="A20" s="2" t="inlineStr">
        <is>
          <t>Free Cash Flow</t>
        </is>
      </c>
      <c r="B20" s="32" t="n">
        <v>2764000000</v>
      </c>
      <c r="C20" s="32" t="n">
        <v>3114000000</v>
      </c>
      <c r="D20" s="32" t="n">
        <v>-6117000000</v>
      </c>
      <c r="E20" s="32" t="n">
        <v>321000000</v>
      </c>
      <c r="F20" s="32" t="n">
        <v>3700000000</v>
      </c>
    </row>
    <row r="21">
      <c r="A21" s="2" t="inlineStr">
        <is>
          <t>FCF Margin %</t>
        </is>
      </c>
      <c r="B21" s="3" t="n">
        <v>0.0997653853095109</v>
      </c>
      <c r="C21" s="3" t="n">
        <v>0.1012419533129592</v>
      </c>
      <c r="D21" s="3" t="n">
        <v>-0.3936293436293437</v>
      </c>
      <c r="E21" s="3" t="n">
        <v>0.01278324240372745</v>
      </c>
      <c r="F21" s="3" t="n">
        <v>0.1042253521126761</v>
      </c>
    </row>
    <row r="22">
      <c r="A22" s="2" t="inlineStr">
        <is>
          <t>Total Debt</t>
        </is>
      </c>
      <c r="B22" s="32" t="n">
        <v>6775000000</v>
      </c>
      <c r="C22" s="32" t="n">
        <v>6908000000</v>
      </c>
      <c r="D22" s="32" t="n">
        <v>13325000000</v>
      </c>
      <c r="E22" s="32" t="n">
        <v>14000000000</v>
      </c>
      <c r="F22" s="32" t="n">
        <v>13850000000</v>
      </c>
    </row>
    <row r="23">
      <c r="A23" s="2" t="inlineStr">
        <is>
          <t>Cash</t>
        </is>
      </c>
      <c r="B23" s="32" t="n">
        <v>7829000000</v>
      </c>
      <c r="C23" s="32" t="n">
        <v>8262000000</v>
      </c>
      <c r="D23" s="32" t="n">
        <v>8577000000</v>
      </c>
      <c r="E23" s="32" t="n">
        <v>7800000000</v>
      </c>
      <c r="F23" s="32" t="n">
        <v>8400000000</v>
      </c>
    </row>
    <row r="24">
      <c r="A24" s="2" t="inlineStr">
        <is>
          <t>Net Debt</t>
        </is>
      </c>
      <c r="B24" s="32" t="n">
        <v>-1054000000</v>
      </c>
      <c r="C24" s="32" t="n">
        <v>-1354000000</v>
      </c>
      <c r="D24" s="32" t="n">
        <v>4748000000</v>
      </c>
      <c r="E24" s="32" t="n">
        <v>6200000000</v>
      </c>
      <c r="F24" s="32" t="n">
        <v>5450000000</v>
      </c>
    </row>
    <row r="25">
      <c r="A25" s="2" t="inlineStr">
        <is>
          <t>Net Debt / EBITDA</t>
        </is>
      </c>
      <c r="B25" s="32" t="n">
        <v>-0.07814932898346556</v>
      </c>
      <c r="C25" s="32" t="n">
        <v>-0.09947836308867827</v>
      </c>
      <c r="D25" s="32" t="n">
        <v>-2.434871794871795</v>
      </c>
      <c r="E25" s="32" t="n">
        <v>0.7126436781609196</v>
      </c>
      <c r="F25" s="32" t="n">
        <v>0.3303030303030303</v>
      </c>
    </row>
    <row r="26">
      <c r="A26" s="2" t="inlineStr">
        <is>
          <t>Total Equity</t>
        </is>
      </c>
      <c r="B26" s="32" t="n">
        <v>44137000000</v>
      </c>
      <c r="C26" s="32" t="n">
        <v>47180000000</v>
      </c>
      <c r="D26" s="32" t="n">
        <v>40544000000</v>
      </c>
      <c r="E26" s="32" t="n">
        <v>41200000000</v>
      </c>
      <c r="F26" s="32" t="n">
        <v>44300000000</v>
      </c>
    </row>
    <row r="27">
      <c r="A27" s="2" t="inlineStr">
        <is>
          <t>ROE %</t>
        </is>
      </c>
      <c r="C27" s="3" t="n">
        <v>0.1902603020248147</v>
      </c>
      <c r="D27" s="3" t="n">
        <v>-0.1329852719894214</v>
      </c>
      <c r="E27" s="3" t="n">
        <v>0.01903503621060873</v>
      </c>
      <c r="F27" s="3" t="n">
        <v>0.1688888888888889</v>
      </c>
    </row>
    <row r="28">
      <c r="A28" s="2" t="inlineStr">
        <is>
          <t>ROIC %</t>
        </is>
      </c>
      <c r="C28" s="3" t="n">
        <v>0.1802820052473043</v>
      </c>
      <c r="D28" s="3" t="n">
        <v>-0.1171699499046922</v>
      </c>
      <c r="E28" s="3" t="n">
        <v>0.01749881327406896</v>
      </c>
      <c r="F28" s="3" t="n">
        <v>0.1482788313076527</v>
      </c>
    </row>
    <row r="29">
      <c r="A29" s="2" t="inlineStr">
        <is>
          <t>Working Capital</t>
        </is>
      </c>
      <c r="B29" s="32" t="n">
        <v>5575000000</v>
      </c>
      <c r="C29" s="32" t="n">
        <v>7396000000</v>
      </c>
      <c r="D29" s="32" t="n">
        <v>7340000000</v>
      </c>
      <c r="E29" s="32" t="n">
        <v>7800000000</v>
      </c>
      <c r="F29" s="32" t="n">
        <v>7700000000</v>
      </c>
    </row>
    <row r="30">
      <c r="A30" s="2" t="inlineStr">
        <is>
          <t>NWC % Revenue</t>
        </is>
      </c>
      <c r="B30" s="3" t="n">
        <v>0.2012272153040967</v>
      </c>
      <c r="C30" s="3" t="n">
        <v>0.240457767084986</v>
      </c>
      <c r="D30" s="3" t="n">
        <v>0.4723294723294723</v>
      </c>
      <c r="E30" s="3" t="n">
        <v>0.3106208434550595</v>
      </c>
      <c r="F30" s="3" t="n">
        <v>0.2169014084507042</v>
      </c>
    </row>
  </sheetData>
  <mergeCells count="1">
    <mergeCell ref="A1:H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6.7109375" customWidth="1" min="1" max="1"/>
    <col width="18.7109375" customWidth="1" min="2" max="2"/>
    <col width="60.7109375" customWidth="1" min="3" max="3"/>
  </cols>
  <sheetData>
    <row r="1">
      <c r="A1" s="11" t="inlineStr">
        <is>
          <t>Cycle Position Diagnostic</t>
        </is>
      </c>
      <c r="B1" s="27" t="n"/>
      <c r="C1" s="22" t="n"/>
    </row>
    <row r="3">
      <c r="A3" s="2" t="inlineStr">
        <is>
          <t>Cycle phase</t>
        </is>
      </c>
      <c r="B3" t="inlineStr">
        <is>
          <t>Near peak</t>
        </is>
      </c>
    </row>
    <row r="4">
      <c r="A4" s="2" t="inlineStr">
        <is>
          <t>Position in margin range</t>
        </is>
      </c>
      <c r="B4" s="3" t="n">
        <v>0.9640387710165633</v>
      </c>
    </row>
    <row r="5">
      <c r="A5" s="2" t="inlineStr">
        <is>
          <t>Latest EBITDA margin</t>
        </is>
      </c>
      <c r="B5" s="3" t="n">
        <v>0.4647887323943662</v>
      </c>
    </row>
    <row r="6">
      <c r="A6" s="2" t="inlineStr">
        <is>
          <t>5y peak margin</t>
        </is>
      </c>
      <c r="B6" s="3" t="n">
        <v>0.4868074354809601</v>
      </c>
    </row>
    <row r="7">
      <c r="A7" s="2" t="inlineStr">
        <is>
          <t>5y trough margin</t>
        </is>
      </c>
      <c r="B7" s="3" t="n">
        <v>-0.1254826254826255</v>
      </c>
    </row>
    <row r="8">
      <c r="A8" s="2" t="inlineStr">
        <is>
          <t>5y median margin</t>
        </is>
      </c>
      <c r="B8" s="3" t="n">
        <v>0.4425190194420964</v>
      </c>
    </row>
    <row r="9">
      <c r="A9" s="2" t="inlineStr">
        <is>
          <t>5y mean margin</t>
        </is>
      </c>
      <c r="B9" s="3" t="n">
        <v>0.3230188543684727</v>
      </c>
    </row>
    <row r="10">
      <c r="A10" s="2" t="inlineStr">
        <is>
          <t>Number of obs</t>
        </is>
      </c>
      <c r="B10" s="33" t="n">
        <v>5</v>
      </c>
    </row>
    <row r="12">
      <c r="A12" s="4" t="inlineStr">
        <is>
          <t>Methodology used by this preset</t>
        </is>
      </c>
      <c r="B12" s="27" t="n"/>
      <c r="C12" s="22" t="n"/>
    </row>
    <row r="13">
      <c r="A13" s="2" t="inlineStr">
        <is>
          <t>Mid-cycle method</t>
        </is>
      </c>
      <c r="B13" t="inlineStr">
        <is>
          <t>winsorize</t>
        </is>
      </c>
    </row>
    <row r="14">
      <c r="A14" s="2" t="inlineStr">
        <is>
          <t>Window (years)</t>
        </is>
      </c>
      <c r="B14" s="33" t="n">
        <v>5</v>
      </c>
    </row>
    <row r="16">
      <c r="A16" s="4" t="inlineStr">
        <is>
          <t>How to read this</t>
        </is>
      </c>
      <c r="B16" s="27" t="n"/>
      <c r="C16" s="22" t="n"/>
    </row>
    <row r="17">
      <c r="A17" s="10" t="inlineStr">
        <is>
          <t>Position 0% = at trough margin, 100% = at peak margin. For cyclicals, valuing off the latest reported margin is dangerous when position is &gt;85% (near peak) or &lt;15% (near trough). The mid-cycle method normalizes — winsorize drops outliers; peak_half assumes structural shift; median is robust to one bad year.</t>
        </is>
      </c>
    </row>
    <row r="18"/>
    <row r="19"/>
    <row r="20"/>
    <row r="21"/>
    <row r="22"/>
  </sheetData>
  <mergeCells count="4">
    <mergeCell ref="A1:C1"/>
    <mergeCell ref="A17:C22"/>
    <mergeCell ref="A16:C16"/>
    <mergeCell ref="A12:C1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2.7109375" customWidth="1" min="1" max="1"/>
    <col width="16.7109375" customWidth="1" min="2" max="7"/>
  </cols>
  <sheetData>
    <row r="1">
      <c r="A1" s="11" t="inlineStr">
        <is>
          <t>5-Year Operating Forecast (formulas)</t>
        </is>
      </c>
      <c r="B1" s="27" t="n"/>
      <c r="C1" s="27" t="n"/>
      <c r="D1" s="27" t="n"/>
      <c r="E1" s="27" t="n"/>
      <c r="F1" s="27" t="n"/>
      <c r="G1" s="22" t="n"/>
    </row>
    <row r="2">
      <c r="A2" s="16" t="inlineStr">
        <is>
          <t>Line Item</t>
        </is>
      </c>
      <c r="B2" s="16" t="inlineStr">
        <is>
          <t>FY2025 (Actual)</t>
        </is>
      </c>
      <c r="C2" s="16" t="inlineStr">
        <is>
          <t>FY2026E</t>
        </is>
      </c>
      <c r="D2" s="16" t="inlineStr">
        <is>
          <t>FY2027E</t>
        </is>
      </c>
      <c r="E2" s="16" t="inlineStr">
        <is>
          <t>FY2028E</t>
        </is>
      </c>
      <c r="F2" s="16" t="inlineStr">
        <is>
          <t>FY2029E</t>
        </is>
      </c>
      <c r="G2" s="16" t="inlineStr">
        <is>
          <t>FY2030E</t>
        </is>
      </c>
    </row>
    <row r="3">
      <c r="A3" s="2" t="inlineStr">
        <is>
          <t>Revenue</t>
        </is>
      </c>
      <c r="B3" s="32" t="n">
        <v>35500000000</v>
      </c>
      <c r="C3" s="32">
        <f>B3*(1+ib_grw1)</f>
        <v/>
      </c>
      <c r="D3" s="32">
        <f>C3*(1+ib_grw2)</f>
        <v/>
      </c>
      <c r="E3" s="32">
        <f>D3*(1+ib_grw3)</f>
        <v/>
      </c>
      <c r="F3" s="32">
        <f>E3*(1+ib_grw4)</f>
        <v/>
      </c>
      <c r="G3" s="32">
        <f>F3*(1+ib_grw5)</f>
        <v/>
      </c>
    </row>
    <row r="4">
      <c r="A4" s="2" t="inlineStr">
        <is>
          <t>YoY %</t>
        </is>
      </c>
      <c r="C4" s="3">
        <f>ib_grw1</f>
        <v/>
      </c>
      <c r="D4" s="3">
        <f>ib_grw2</f>
        <v/>
      </c>
      <c r="E4" s="3">
        <f>ib_grw3</f>
        <v/>
      </c>
      <c r="F4" s="3">
        <f>ib_grw4</f>
        <v/>
      </c>
      <c r="G4" s="3">
        <f>ib_grw5</f>
        <v/>
      </c>
    </row>
    <row r="5">
      <c r="A5" s="2" t="inlineStr">
        <is>
          <t>EBITDA</t>
        </is>
      </c>
      <c r="C5" s="32">
        <f>C3*ib_ebmgn</f>
        <v/>
      </c>
      <c r="D5" s="32">
        <f>D3*ib_ebmgn</f>
        <v/>
      </c>
      <c r="E5" s="32">
        <f>E3*ib_ebmgn</f>
        <v/>
      </c>
      <c r="F5" s="32">
        <f>F3*ib_ebmgn</f>
        <v/>
      </c>
      <c r="G5" s="32">
        <f>G3*ib_ebmgn</f>
        <v/>
      </c>
    </row>
    <row r="6">
      <c r="A6" s="2" t="inlineStr">
        <is>
          <t>EBITDA Margin %</t>
        </is>
      </c>
      <c r="C6" s="3">
        <f>ib_ebmgn</f>
        <v/>
      </c>
      <c r="D6" s="3">
        <f>ib_ebmgn</f>
        <v/>
      </c>
      <c r="E6" s="3">
        <f>ib_ebmgn</f>
        <v/>
      </c>
      <c r="F6" s="3">
        <f>ib_ebmgn</f>
        <v/>
      </c>
      <c r="G6" s="3">
        <f>ib_ebmgn</f>
        <v/>
      </c>
    </row>
    <row r="7">
      <c r="A7" s="2" t="inlineStr">
        <is>
          <t>D&amp;A</t>
        </is>
      </c>
      <c r="C7" s="32">
        <f>C3*ib_dapct</f>
        <v/>
      </c>
      <c r="D7" s="32">
        <f>D3*ib_dapct</f>
        <v/>
      </c>
      <c r="E7" s="32">
        <f>E3*ib_dapct</f>
        <v/>
      </c>
      <c r="F7" s="32">
        <f>F3*ib_dapct</f>
        <v/>
      </c>
      <c r="G7" s="32">
        <f>G3*ib_dapct</f>
        <v/>
      </c>
    </row>
    <row r="8">
      <c r="A8" s="2" t="inlineStr">
        <is>
          <t>EBIT</t>
        </is>
      </c>
      <c r="C8" s="32">
        <f>C5-C7</f>
        <v/>
      </c>
      <c r="D8" s="32">
        <f>D5-D7</f>
        <v/>
      </c>
      <c r="E8" s="32">
        <f>E5-E7</f>
        <v/>
      </c>
      <c r="F8" s="32">
        <f>F5-F7</f>
        <v/>
      </c>
      <c r="G8" s="32">
        <f>G5-G7</f>
        <v/>
      </c>
    </row>
    <row r="9">
      <c r="A9" s="2" t="inlineStr">
        <is>
          <t>Cash Taxes</t>
        </is>
      </c>
      <c r="C9" s="32">
        <f>C8*ib_tax</f>
        <v/>
      </c>
      <c r="D9" s="32">
        <f>D8*ib_tax</f>
        <v/>
      </c>
      <c r="E9" s="32">
        <f>E8*ib_tax</f>
        <v/>
      </c>
      <c r="F9" s="32">
        <f>F8*ib_tax</f>
        <v/>
      </c>
      <c r="G9" s="32">
        <f>G8*ib_tax</f>
        <v/>
      </c>
    </row>
    <row r="10">
      <c r="A10" s="2" t="inlineStr">
        <is>
          <t>NOPAT</t>
        </is>
      </c>
      <c r="C10" s="32">
        <f>C8-C9</f>
        <v/>
      </c>
      <c r="D10" s="32">
        <f>D8-D9</f>
        <v/>
      </c>
      <c r="E10" s="32">
        <f>E8-E9</f>
        <v/>
      </c>
      <c r="F10" s="32">
        <f>F8-F9</f>
        <v/>
      </c>
      <c r="G10" s="32">
        <f>G8-G9</f>
        <v/>
      </c>
    </row>
    <row r="11">
      <c r="A11" s="2" t="inlineStr">
        <is>
          <t>Capex</t>
        </is>
      </c>
      <c r="C11" s="32">
        <f>C3*ib_cxpct</f>
        <v/>
      </c>
      <c r="D11" s="32">
        <f>D3*ib_cxpct</f>
        <v/>
      </c>
      <c r="E11" s="32">
        <f>E3*ib_cxpct</f>
        <v/>
      </c>
      <c r="F11" s="32">
        <f>F3*ib_cxpct</f>
        <v/>
      </c>
      <c r="G11" s="32">
        <f>G3*ib_cxpct</f>
        <v/>
      </c>
    </row>
    <row r="12">
      <c r="A12" s="2" t="inlineStr">
        <is>
          <t>Δ NWC</t>
        </is>
      </c>
      <c r="C12" s="32">
        <f>(C3-B3)*ib_nwcpct</f>
        <v/>
      </c>
      <c r="D12" s="32">
        <f>(D3-C3)*ib_nwcpct</f>
        <v/>
      </c>
      <c r="E12" s="32">
        <f>(E3-D3)*ib_nwcpct</f>
        <v/>
      </c>
      <c r="F12" s="32">
        <f>(F3-E3)*ib_nwcpct</f>
        <v/>
      </c>
      <c r="G12" s="32">
        <f>(G3-F3)*ib_nwcpct</f>
        <v/>
      </c>
    </row>
    <row r="13">
      <c r="A13" s="19" t="inlineStr">
        <is>
          <t>Unlevered FCF</t>
        </is>
      </c>
      <c r="C13" s="32">
        <f>C10+C7-C11-C12</f>
        <v/>
      </c>
      <c r="D13" s="32">
        <f>D10+D7-D11-D12</f>
        <v/>
      </c>
      <c r="E13" s="32">
        <f>E10+E7-E11-E12</f>
        <v/>
      </c>
      <c r="F13" s="32">
        <f>F10+F7-F11-F12</f>
        <v/>
      </c>
      <c r="G13" s="32">
        <f>G10+G7-G11-G12</f>
        <v/>
      </c>
    </row>
  </sheetData>
  <mergeCells count="1">
    <mergeCell ref="A1:G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32.7109375" customWidth="1" min="1" max="1"/>
    <col width="16.7109375" customWidth="1" min="2" max="7"/>
  </cols>
  <sheetData>
    <row r="1">
      <c r="A1" s="11" t="inlineStr">
        <is>
          <t>Three-Statement Projection</t>
        </is>
      </c>
      <c r="B1" s="27" t="n"/>
      <c r="C1" s="27" t="n"/>
      <c r="D1" s="27" t="n"/>
      <c r="E1" s="27" t="n"/>
      <c r="F1" s="27" t="n"/>
      <c r="G1" s="22" t="n"/>
    </row>
    <row r="3">
      <c r="A3" s="4" t="inlineStr">
        <is>
          <t>Income Statement</t>
        </is>
      </c>
      <c r="B3" s="27" t="n"/>
      <c r="C3" s="27" t="n"/>
      <c r="D3" s="27" t="n"/>
      <c r="E3" s="27" t="n"/>
      <c r="F3" s="22" t="n"/>
    </row>
    <row r="4">
      <c r="A4" s="16" t="n"/>
      <c r="B4" s="16" t="inlineStr">
        <is>
          <t>FY2026E</t>
        </is>
      </c>
      <c r="C4" s="16" t="inlineStr">
        <is>
          <t>FY2027E</t>
        </is>
      </c>
      <c r="D4" s="16" t="inlineStr">
        <is>
          <t>FY2028E</t>
        </is>
      </c>
      <c r="E4" s="16" t="inlineStr">
        <is>
          <t>FY2029E</t>
        </is>
      </c>
      <c r="F4" s="16" t="inlineStr">
        <is>
          <t>FY2030E</t>
        </is>
      </c>
    </row>
    <row r="5">
      <c r="A5" s="2" t="inlineStr">
        <is>
          <t>Revenue</t>
        </is>
      </c>
      <c r="B5" s="32" t="n">
        <v>42600000000</v>
      </c>
      <c r="C5" s="32" t="n">
        <v>46860000000</v>
      </c>
      <c r="D5" s="32" t="n">
        <v>49203000000</v>
      </c>
      <c r="E5" s="32" t="n">
        <v>51171120000</v>
      </c>
      <c r="F5" s="32" t="n">
        <v>52706253600</v>
      </c>
    </row>
    <row r="6">
      <c r="A6" s="2" t="inlineStr">
        <is>
          <t>Gross Profit</t>
        </is>
      </c>
      <c r="B6" s="32" t="n">
        <v>7279060443.445772</v>
      </c>
      <c r="C6" s="32" t="n">
        <v>8006966487.79035</v>
      </c>
      <c r="D6" s="32" t="n">
        <v>8407314812.179867</v>
      </c>
      <c r="E6" s="32" t="n">
        <v>8743607404.667063</v>
      </c>
      <c r="F6" s="32" t="n">
        <v>9005915626.807074</v>
      </c>
    </row>
    <row r="7">
      <c r="A7" s="2" t="inlineStr">
        <is>
          <t>EBITDA</t>
        </is>
      </c>
      <c r="B7" s="32" t="n">
        <v>17803526358.18521</v>
      </c>
      <c r="C7" s="32" t="n">
        <v>19583878994.00373</v>
      </c>
      <c r="D7" s="32" t="n">
        <v>20563072943.70392</v>
      </c>
      <c r="E7" s="32" t="n">
        <v>21385595861.45208</v>
      </c>
      <c r="F7" s="32" t="n">
        <v>22027163737.29564</v>
      </c>
    </row>
    <row r="8">
      <c r="A8" s="2" t="inlineStr">
        <is>
          <t>D&amp;A</t>
        </is>
      </c>
      <c r="B8" s="32" t="n">
        <v>6390000000</v>
      </c>
      <c r="C8" s="32" t="n">
        <v>7029000000</v>
      </c>
      <c r="D8" s="32" t="n">
        <v>7380450000</v>
      </c>
      <c r="E8" s="32" t="n">
        <v>7675668000</v>
      </c>
      <c r="F8" s="32" t="n">
        <v>7905938040</v>
      </c>
    </row>
    <row r="9">
      <c r="A9" s="2" t="inlineStr">
        <is>
          <t>EBIT</t>
        </is>
      </c>
      <c r="B9" s="32" t="n">
        <v>11413526358.18521</v>
      </c>
      <c r="C9" s="32" t="n">
        <v>12554878994.00373</v>
      </c>
      <c r="D9" s="32" t="n">
        <v>13182622943.70392</v>
      </c>
      <c r="E9" s="32" t="n">
        <v>13709927861.45208</v>
      </c>
      <c r="F9" s="32" t="n">
        <v>14121225697.29564</v>
      </c>
    </row>
    <row r="10">
      <c r="A10" s="2" t="inlineStr">
        <is>
          <t>Interest Expense</t>
        </is>
      </c>
      <c r="B10" s="32" t="n">
        <v>482500000</v>
      </c>
      <c r="C10" s="32" t="n">
        <v>482500000</v>
      </c>
      <c r="D10" s="32" t="n">
        <v>482500000</v>
      </c>
      <c r="E10" s="32" t="n">
        <v>482500000</v>
      </c>
      <c r="F10" s="32" t="n">
        <v>482500000</v>
      </c>
    </row>
    <row r="11">
      <c r="A11" s="2" t="inlineStr">
        <is>
          <t>Pretax Income</t>
        </is>
      </c>
      <c r="B11" s="32" t="n">
        <v>10931026358.18521</v>
      </c>
      <c r="C11" s="32" t="n">
        <v>12072378994.00373</v>
      </c>
      <c r="D11" s="32" t="n">
        <v>12700122943.70392</v>
      </c>
      <c r="E11" s="32" t="n">
        <v>13227427861.45208</v>
      </c>
      <c r="F11" s="32" t="n">
        <v>13638725697.29564</v>
      </c>
    </row>
    <row r="12">
      <c r="A12" s="2" t="inlineStr">
        <is>
          <t>Tax</t>
        </is>
      </c>
      <c r="B12" s="32" t="n">
        <v>1639653953.727782</v>
      </c>
      <c r="C12" s="32" t="n">
        <v>1810856849.10056</v>
      </c>
      <c r="D12" s="32" t="n">
        <v>1905018441.555588</v>
      </c>
      <c r="E12" s="32" t="n">
        <v>1984114179.217811</v>
      </c>
      <c r="F12" s="32" t="n">
        <v>2045808854.594346</v>
      </c>
    </row>
    <row r="13">
      <c r="A13" s="2" t="inlineStr">
        <is>
          <t>Net Income</t>
        </is>
      </c>
      <c r="B13" s="32" t="n">
        <v>9291372404.45743</v>
      </c>
      <c r="C13" s="32" t="n">
        <v>10261522144.90318</v>
      </c>
      <c r="D13" s="32" t="n">
        <v>10795104502.14833</v>
      </c>
      <c r="E13" s="32" t="n">
        <v>11243313682.23426</v>
      </c>
      <c r="F13" s="32" t="n">
        <v>11592916842.70129</v>
      </c>
    </row>
    <row r="14">
      <c r="A14" s="2" t="inlineStr">
        <is>
          <t>Diluted Shares</t>
        </is>
      </c>
      <c r="B14" s="32" t="n">
        <v>1120000000</v>
      </c>
      <c r="C14" s="32" t="n">
        <v>1120000000</v>
      </c>
      <c r="D14" s="32" t="n">
        <v>1120000000</v>
      </c>
      <c r="E14" s="32" t="n">
        <v>1120000000</v>
      </c>
      <c r="F14" s="32" t="n">
        <v>1120000000</v>
      </c>
    </row>
    <row r="15">
      <c r="A15" s="2" t="inlineStr">
        <is>
          <t>Diluted EPS</t>
        </is>
      </c>
      <c r="B15" s="32" t="n">
        <v>8.295868218265563</v>
      </c>
      <c r="C15" s="32" t="n">
        <v>9.162073343663549</v>
      </c>
      <c r="D15" s="32" t="n">
        <v>9.638486162632438</v>
      </c>
      <c r="E15" s="32" t="n">
        <v>10.03867293056631</v>
      </c>
      <c r="F15" s="32" t="n">
        <v>10.35081860955473</v>
      </c>
    </row>
    <row r="18">
      <c r="A18" s="4" t="inlineStr">
        <is>
          <t>Cash Flow Statement</t>
        </is>
      </c>
      <c r="B18" s="27" t="n"/>
      <c r="C18" s="27" t="n"/>
      <c r="D18" s="27" t="n"/>
      <c r="E18" s="27" t="n"/>
      <c r="F18" s="22" t="n"/>
    </row>
    <row r="19">
      <c r="A19" s="16" t="n"/>
      <c r="B19" s="16" t="inlineStr">
        <is>
          <t>FY2026E</t>
        </is>
      </c>
      <c r="C19" s="16" t="inlineStr">
        <is>
          <t>FY2027E</t>
        </is>
      </c>
      <c r="D19" s="16" t="inlineStr">
        <is>
          <t>FY2028E</t>
        </is>
      </c>
      <c r="E19" s="16" t="inlineStr">
        <is>
          <t>FY2029E</t>
        </is>
      </c>
      <c r="F19" s="16" t="inlineStr">
        <is>
          <t>FY2030E</t>
        </is>
      </c>
    </row>
    <row r="20">
      <c r="A20" s="2" t="inlineStr">
        <is>
          <t>Net Income</t>
        </is>
      </c>
      <c r="B20" s="32" t="n">
        <v>9291372404.45743</v>
      </c>
      <c r="C20" s="32" t="n">
        <v>10261522144.90318</v>
      </c>
      <c r="D20" s="32" t="n">
        <v>10795104502.14833</v>
      </c>
      <c r="E20" s="32" t="n">
        <v>11243313682.23426</v>
      </c>
      <c r="F20" s="32" t="n">
        <v>11592916842.70129</v>
      </c>
    </row>
    <row r="21">
      <c r="A21" s="2" t="inlineStr">
        <is>
          <t>+ D&amp;A</t>
        </is>
      </c>
      <c r="B21" s="32" t="n">
        <v>6390000000</v>
      </c>
      <c r="C21" s="32" t="n">
        <v>7029000000</v>
      </c>
      <c r="D21" s="32" t="n">
        <v>7380450000</v>
      </c>
      <c r="E21" s="32" t="n">
        <v>7675668000</v>
      </c>
      <c r="F21" s="32" t="n">
        <v>7905938040</v>
      </c>
    </row>
    <row r="22">
      <c r="A22" s="2" t="inlineStr">
        <is>
          <t>− Δ NWC</t>
        </is>
      </c>
      <c r="B22" s="32" t="n">
        <v>-1278000000</v>
      </c>
      <c r="C22" s="32" t="n">
        <v>-766800000</v>
      </c>
      <c r="D22" s="32" t="n">
        <v>-421740000</v>
      </c>
      <c r="E22" s="32" t="n">
        <v>-354261600</v>
      </c>
      <c r="F22" s="32" t="n">
        <v>-276324048</v>
      </c>
    </row>
    <row r="23">
      <c r="A23" s="2" t="inlineStr">
        <is>
          <t>Operating Cash Flow</t>
        </is>
      </c>
      <c r="B23" s="32" t="n">
        <v>14403372404.45743</v>
      </c>
      <c r="C23" s="32" t="n">
        <v>16523722144.90318</v>
      </c>
      <c r="D23" s="32" t="n">
        <v>17753814502.14833</v>
      </c>
      <c r="E23" s="32" t="n">
        <v>18564720082.23426</v>
      </c>
      <c r="F23" s="32" t="n">
        <v>19222530834.70129</v>
      </c>
    </row>
    <row r="24">
      <c r="A24" s="2" t="inlineStr">
        <is>
          <t>− Capex</t>
        </is>
      </c>
      <c r="B24" s="32" t="n">
        <v>-10650000000</v>
      </c>
      <c r="C24" s="32" t="n">
        <v>-11715000000</v>
      </c>
      <c r="D24" s="32" t="n">
        <v>-12300750000</v>
      </c>
      <c r="E24" s="32" t="n">
        <v>-12792780000</v>
      </c>
      <c r="F24" s="32" t="n">
        <v>-13176563400</v>
      </c>
    </row>
    <row r="25">
      <c r="A25" s="2" t="inlineStr">
        <is>
          <t>Free Cash Flow</t>
        </is>
      </c>
      <c r="B25" s="32" t="n">
        <v>3753372404.45743</v>
      </c>
      <c r="C25" s="32" t="n">
        <v>4808722144.903175</v>
      </c>
      <c r="D25" s="32" t="n">
        <v>5453064502.148331</v>
      </c>
      <c r="E25" s="32" t="n">
        <v>5771940082.234264</v>
      </c>
      <c r="F25" s="32" t="n">
        <v>6045967434.701294</v>
      </c>
    </row>
    <row r="26">
      <c r="A26" s="2" t="inlineStr">
        <is>
          <t>− Mandatory Debt Amort</t>
        </is>
      </c>
      <c r="B26" s="32" t="n">
        <v>0</v>
      </c>
      <c r="C26" s="32" t="n">
        <v>0</v>
      </c>
      <c r="D26" s="32" t="n">
        <v>0</v>
      </c>
      <c r="E26" s="32" t="n">
        <v>0</v>
      </c>
      <c r="F26" s="32" t="n">
        <v>0</v>
      </c>
    </row>
    <row r="27">
      <c r="A27" s="2" t="inlineStr">
        <is>
          <t>− Dividends</t>
        </is>
      </c>
      <c r="B27" s="32" t="n">
        <v>0</v>
      </c>
      <c r="C27" s="32" t="n">
        <v>0</v>
      </c>
      <c r="D27" s="32" t="n">
        <v>0</v>
      </c>
      <c r="E27" s="32" t="n">
        <v>0</v>
      </c>
      <c r="F27" s="32" t="n">
        <v>0</v>
      </c>
    </row>
    <row r="28">
      <c r="A28" s="2">
        <f> Net Change in Cash</f>
        <v/>
      </c>
      <c r="B28" s="32" t="n">
        <v>3753372404.45743</v>
      </c>
      <c r="C28" s="32" t="n">
        <v>4808722144.903175</v>
      </c>
      <c r="D28" s="32" t="n">
        <v>5453064502.148331</v>
      </c>
      <c r="E28" s="32" t="n">
        <v>5771940082.234264</v>
      </c>
      <c r="F28" s="32" t="n">
        <v>6045967434.701294</v>
      </c>
    </row>
    <row r="29">
      <c r="A29" s="2" t="inlineStr">
        <is>
          <t>Beginning Cash</t>
        </is>
      </c>
      <c r="B29" s="32" t="n">
        <v>8400000000</v>
      </c>
      <c r="C29" s="32" t="n">
        <v>12153372404.45743</v>
      </c>
      <c r="D29" s="32" t="n">
        <v>16962094549.36061</v>
      </c>
      <c r="E29" s="32" t="n">
        <v>22415159051.50893</v>
      </c>
      <c r="F29" s="32" t="n">
        <v>28187099133.7432</v>
      </c>
    </row>
    <row r="30">
      <c r="A30" s="2" t="inlineStr">
        <is>
          <t>Ending Cash</t>
        </is>
      </c>
      <c r="B30" s="32" t="n">
        <v>12153372404.45743</v>
      </c>
      <c r="C30" s="32" t="n">
        <v>16962094549.36061</v>
      </c>
      <c r="D30" s="32" t="n">
        <v>22415159051.50893</v>
      </c>
      <c r="E30" s="32" t="n">
        <v>28187099133.7432</v>
      </c>
      <c r="F30" s="32" t="n">
        <v>34233066568.44449</v>
      </c>
    </row>
    <row r="33">
      <c r="A33" s="4" t="inlineStr">
        <is>
          <t>Balance Sheet</t>
        </is>
      </c>
      <c r="B33" s="27" t="n"/>
      <c r="C33" s="27" t="n"/>
      <c r="D33" s="27" t="n"/>
      <c r="E33" s="27" t="n"/>
      <c r="F33" s="22" t="n"/>
    </row>
    <row r="34">
      <c r="A34" s="16" t="n"/>
      <c r="B34" s="16" t="inlineStr">
        <is>
          <t>FY2026E</t>
        </is>
      </c>
      <c r="C34" s="16" t="inlineStr">
        <is>
          <t>FY2027E</t>
        </is>
      </c>
      <c r="D34" s="16" t="inlineStr">
        <is>
          <t>FY2028E</t>
        </is>
      </c>
      <c r="E34" s="16" t="inlineStr">
        <is>
          <t>FY2029E</t>
        </is>
      </c>
      <c r="F34" s="16" t="inlineStr">
        <is>
          <t>FY2030E</t>
        </is>
      </c>
    </row>
    <row r="35">
      <c r="A35" s="2" t="inlineStr">
        <is>
          <t>Cash &amp; Equivalents</t>
        </is>
      </c>
      <c r="B35" s="32" t="n">
        <v>12153372404.45743</v>
      </c>
      <c r="C35" s="32" t="n">
        <v>16962094549.36061</v>
      </c>
      <c r="D35" s="32" t="n">
        <v>22415159051.50893</v>
      </c>
      <c r="E35" s="32" t="n">
        <v>28187099133.7432</v>
      </c>
      <c r="F35" s="32" t="n">
        <v>34233066568.44449</v>
      </c>
    </row>
    <row r="36">
      <c r="A36" s="2" t="inlineStr">
        <is>
          <t>Receivables</t>
        </is>
      </c>
      <c r="B36" s="32" t="n">
        <v>6599999999.999999</v>
      </c>
      <c r="C36" s="32" t="n">
        <v>7259999999.999999</v>
      </c>
      <c r="D36" s="32" t="n">
        <v>7622999999.999999</v>
      </c>
      <c r="E36" s="32" t="n">
        <v>7927919999.999999</v>
      </c>
      <c r="F36" s="32" t="n">
        <v>8165757599.999999</v>
      </c>
    </row>
    <row r="37">
      <c r="A37" s="2" t="inlineStr">
        <is>
          <t>Inventory</t>
        </is>
      </c>
      <c r="B37" s="32" t="n">
        <v>9120000000</v>
      </c>
      <c r="C37" s="32" t="n">
        <v>10032000000</v>
      </c>
      <c r="D37" s="32" t="n">
        <v>10533600000</v>
      </c>
      <c r="E37" s="32" t="n">
        <v>10954944000</v>
      </c>
      <c r="F37" s="32" t="n">
        <v>11283592320</v>
      </c>
    </row>
    <row r="38">
      <c r="A38" s="2" t="inlineStr">
        <is>
          <t>Net PPE</t>
        </is>
      </c>
      <c r="B38" s="32" t="n">
        <v>50260000000</v>
      </c>
      <c r="C38" s="32" t="n">
        <v>54946000000</v>
      </c>
      <c r="D38" s="32" t="n">
        <v>59866300000</v>
      </c>
      <c r="E38" s="32" t="n">
        <v>64983412000</v>
      </c>
      <c r="F38" s="32" t="n">
        <v>70254037360</v>
      </c>
    </row>
    <row r="39">
      <c r="A39" s="2" t="inlineStr">
        <is>
          <t>Other Assets</t>
        </is>
      </c>
      <c r="B39" s="32" t="n">
        <v>5500000000</v>
      </c>
      <c r="C39" s="32" t="n">
        <v>5500000000</v>
      </c>
      <c r="D39" s="32" t="n">
        <v>5500000000</v>
      </c>
      <c r="E39" s="32" t="n">
        <v>5500000000</v>
      </c>
      <c r="F39" s="32" t="n">
        <v>5500000000</v>
      </c>
    </row>
    <row r="40">
      <c r="A40" s="2" t="inlineStr">
        <is>
          <t>Total Assets</t>
        </is>
      </c>
      <c r="B40" s="32" t="n">
        <v>83633372404.45743</v>
      </c>
      <c r="C40" s="32" t="n">
        <v>94700094549.3606</v>
      </c>
      <c r="D40" s="32" t="n">
        <v>105938059051.5089</v>
      </c>
      <c r="E40" s="32" t="n">
        <v>117553375133.7432</v>
      </c>
      <c r="F40" s="32" t="n">
        <v>129436453848.4445</v>
      </c>
    </row>
    <row r="41">
      <c r="A41" s="2" t="inlineStr">
        <is>
          <t>Payables</t>
        </is>
      </c>
      <c r="B41" s="32" t="n">
        <v>6480000000</v>
      </c>
      <c r="C41" s="32" t="n">
        <v>7128000000</v>
      </c>
      <c r="D41" s="32" t="n">
        <v>7484400000</v>
      </c>
      <c r="E41" s="32" t="n">
        <v>7783776000</v>
      </c>
      <c r="F41" s="32" t="n">
        <v>8017289280</v>
      </c>
    </row>
    <row r="42">
      <c r="A42" s="2" t="inlineStr">
        <is>
          <t>Total Debt</t>
        </is>
      </c>
      <c r="B42" s="32" t="n">
        <v>13850000000</v>
      </c>
      <c r="C42" s="32" t="n">
        <v>13850000000</v>
      </c>
      <c r="D42" s="32" t="n">
        <v>13850000000</v>
      </c>
      <c r="E42" s="32" t="n">
        <v>13850000000</v>
      </c>
      <c r="F42" s="32" t="n">
        <v>13850000000</v>
      </c>
    </row>
    <row r="43">
      <c r="A43" s="2" t="inlineStr">
        <is>
          <t>Other Liabilities</t>
        </is>
      </c>
      <c r="B43" s="32" t="n">
        <v>9712000000</v>
      </c>
      <c r="C43" s="32" t="n">
        <v>9869199999.999992</v>
      </c>
      <c r="D43" s="32" t="n">
        <v>9955660000</v>
      </c>
      <c r="E43" s="32" t="n">
        <v>10028286399.99998</v>
      </c>
      <c r="F43" s="32" t="n">
        <v>10084934991.99998</v>
      </c>
    </row>
    <row r="44">
      <c r="A44" s="2" t="inlineStr">
        <is>
          <t>Total Liabilities</t>
        </is>
      </c>
      <c r="B44" s="32" t="n">
        <v>30042000000</v>
      </c>
      <c r="C44" s="32" t="n">
        <v>30847199999.99999</v>
      </c>
      <c r="D44" s="32" t="n">
        <v>31290060000</v>
      </c>
      <c r="E44" s="32" t="n">
        <v>31662062399.99998</v>
      </c>
      <c r="F44" s="32" t="n">
        <v>31952224271.99998</v>
      </c>
    </row>
    <row r="45">
      <c r="A45" s="2" t="inlineStr">
        <is>
          <t>Retained Earnings (delta)</t>
        </is>
      </c>
      <c r="B45" s="32" t="n">
        <v>9291372404.457428</v>
      </c>
      <c r="C45" s="32" t="n">
        <v>19552894549.3606</v>
      </c>
      <c r="D45" s="32" t="n">
        <v>30347999051.50894</v>
      </c>
      <c r="E45" s="32" t="n">
        <v>41591312733.74321</v>
      </c>
      <c r="F45" s="32" t="n">
        <v>53184229576.4445</v>
      </c>
    </row>
    <row r="46">
      <c r="A46" s="2" t="inlineStr">
        <is>
          <t>Equity</t>
        </is>
      </c>
      <c r="B46" s="32" t="n">
        <v>53591372404.45743</v>
      </c>
      <c r="C46" s="32" t="n">
        <v>63852894549.3606</v>
      </c>
      <c r="D46" s="32" t="n">
        <v>74647999051.50894</v>
      </c>
      <c r="E46" s="32" t="n">
        <v>85891312733.74321</v>
      </c>
      <c r="F46" s="32" t="n">
        <v>97484229576.4445</v>
      </c>
    </row>
    <row r="47">
      <c r="A47" s="2" t="inlineStr">
        <is>
          <t>Total Liab + Equity</t>
        </is>
      </c>
      <c r="B47" s="32" t="n">
        <v>83633372404.45743</v>
      </c>
      <c r="C47" s="32" t="n">
        <v>94700094549.3606</v>
      </c>
      <c r="D47" s="32" t="n">
        <v>105938059051.5089</v>
      </c>
      <c r="E47" s="32" t="n">
        <v>117553375133.7432</v>
      </c>
      <c r="F47" s="32" t="n">
        <v>129436453848.4445</v>
      </c>
    </row>
    <row r="48">
      <c r="A48" s="2" t="inlineStr">
        <is>
          <t>BS Check (Assets − Liab − Eq)</t>
        </is>
      </c>
      <c r="B48" s="32" t="n">
        <v>0</v>
      </c>
      <c r="C48" s="32" t="n">
        <v>0</v>
      </c>
      <c r="D48" s="32" t="n">
        <v>0</v>
      </c>
      <c r="E48" s="32" t="n">
        <v>0</v>
      </c>
      <c r="F48" s="32" t="n">
        <v>0</v>
      </c>
    </row>
  </sheetData>
  <mergeCells count="4">
    <mergeCell ref="A3:F3"/>
    <mergeCell ref="A33:F33"/>
    <mergeCell ref="A1:G1"/>
    <mergeCell ref="A18:F18"/>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6.7109375" customWidth="1" min="1" max="1"/>
    <col width="16.7109375" customWidth="1" min="2" max="8"/>
  </cols>
  <sheetData>
    <row r="1">
      <c r="A1" s="11" t="inlineStr">
        <is>
          <t>DCF Valuation (formulas)</t>
        </is>
      </c>
      <c r="B1" s="27" t="n"/>
      <c r="C1" s="27" t="n"/>
      <c r="D1" s="27" t="n"/>
      <c r="E1" s="27" t="n"/>
      <c r="F1" s="27" t="n"/>
      <c r="G1" s="27" t="n"/>
      <c r="H1" s="22" t="n"/>
    </row>
    <row r="3">
      <c r="A3" s="4" t="inlineStr">
        <is>
          <t>WACC Build (with Hamada re-levering)</t>
        </is>
      </c>
      <c r="B3" s="22" t="n"/>
    </row>
    <row r="4">
      <c r="A4" s="2" t="inlineStr">
        <is>
          <t>Risk-free rate</t>
        </is>
      </c>
      <c r="B4" s="34">
        <f>ib_rf</f>
        <v/>
      </c>
    </row>
    <row r="5">
      <c r="A5" s="2" t="inlineStr">
        <is>
          <t>ERP</t>
        </is>
      </c>
      <c r="B5" s="34">
        <f>ib_erp</f>
        <v/>
      </c>
    </row>
    <row r="6">
      <c r="A6" s="2" t="inlineStr">
        <is>
          <t>Re-levered β</t>
        </is>
      </c>
      <c r="B6" s="23">
        <f>ib_betaT</f>
        <v/>
      </c>
    </row>
    <row r="7">
      <c r="A7" s="19" t="inlineStr">
        <is>
          <t>Cost of Equity</t>
        </is>
      </c>
      <c r="B7" s="34">
        <f>B4+B5*B6</f>
        <v/>
      </c>
    </row>
    <row r="8">
      <c r="A8" s="2" t="inlineStr">
        <is>
          <t>Pre-tax kd</t>
        </is>
      </c>
      <c r="B8" s="34">
        <f>B4+ib_spread/10000</f>
        <v/>
      </c>
    </row>
    <row r="9">
      <c r="A9" s="2" t="inlineStr">
        <is>
          <t>Tax</t>
        </is>
      </c>
      <c r="B9" s="34">
        <f>ib_tax</f>
        <v/>
      </c>
    </row>
    <row r="10">
      <c r="A10" s="2" t="inlineStr">
        <is>
          <t>After-tax kd</t>
        </is>
      </c>
      <c r="B10" s="34">
        <f>B8*(1-B9)</f>
        <v/>
      </c>
    </row>
    <row r="11">
      <c r="A11" s="2" t="inlineStr">
        <is>
          <t>Wd</t>
        </is>
      </c>
      <c r="B11" s="34">
        <f>ib_wd</f>
        <v/>
      </c>
    </row>
    <row r="12">
      <c r="A12" s="2" t="inlineStr">
        <is>
          <t>We</t>
        </is>
      </c>
      <c r="B12" s="34">
        <f>1-B11</f>
        <v/>
      </c>
    </row>
    <row r="13">
      <c r="A13" s="19" t="inlineStr">
        <is>
          <t>WACC</t>
        </is>
      </c>
      <c r="B13" s="25">
        <f>B7*B12+B10*B11</f>
        <v/>
      </c>
    </row>
    <row r="15">
      <c r="A15" s="16" t="inlineStr">
        <is>
          <t>Year</t>
        </is>
      </c>
      <c r="B15" s="16" t="n">
        <v>1</v>
      </c>
      <c r="C15" s="16" t="n">
        <v>2</v>
      </c>
      <c r="D15" s="16" t="n">
        <v>3</v>
      </c>
      <c r="E15" s="16" t="n">
        <v>4</v>
      </c>
      <c r="F15" s="16" t="n">
        <v>5</v>
      </c>
    </row>
    <row r="16">
      <c r="A16" s="2" t="inlineStr">
        <is>
          <t>FCF</t>
        </is>
      </c>
      <c r="B16" s="32">
        <f>Forecast!C13</f>
        <v/>
      </c>
      <c r="C16" s="32">
        <f>Forecast!D13</f>
        <v/>
      </c>
      <c r="D16" s="32">
        <f>Forecast!E13</f>
        <v/>
      </c>
      <c r="E16" s="32">
        <f>Forecast!F13</f>
        <v/>
      </c>
      <c r="F16" s="32">
        <f>Forecast!G13</f>
        <v/>
      </c>
    </row>
    <row r="17">
      <c r="A17" s="2" t="inlineStr">
        <is>
          <t>Discount Factor (mid-yr)</t>
        </is>
      </c>
      <c r="B17" s="23">
        <f>1/(1+ib_WACC)^(1-0.5)</f>
        <v/>
      </c>
      <c r="C17" s="23">
        <f>1/(1+ib_WACC)^(2-0.5)</f>
        <v/>
      </c>
      <c r="D17" s="23">
        <f>1/(1+ib_WACC)^(3-0.5)</f>
        <v/>
      </c>
      <c r="E17" s="23">
        <f>1/(1+ib_WACC)^(4-0.5)</f>
        <v/>
      </c>
      <c r="F17" s="23">
        <f>1/(1+ib_WACC)^(5-0.5)</f>
        <v/>
      </c>
    </row>
    <row r="18">
      <c r="A18" s="2" t="inlineStr">
        <is>
          <t>PV of FCF</t>
        </is>
      </c>
      <c r="B18" s="32">
        <f>B16*B17</f>
        <v/>
      </c>
      <c r="C18" s="32">
        <f>C16*C17</f>
        <v/>
      </c>
      <c r="D18" s="32">
        <f>D16*D17</f>
        <v/>
      </c>
      <c r="E18" s="32">
        <f>E16*E17</f>
        <v/>
      </c>
      <c r="F18" s="32">
        <f>F16*F17</f>
        <v/>
      </c>
    </row>
    <row r="20">
      <c r="A20" s="19" t="inlineStr">
        <is>
          <t>Sum PV explicit</t>
        </is>
      </c>
      <c r="B20" s="32">
        <f>SUM(B18:F18)</f>
        <v/>
      </c>
    </row>
    <row r="21">
      <c r="A21" s="2" t="inlineStr">
        <is>
          <t>Y5 FCF</t>
        </is>
      </c>
      <c r="B21" s="32">
        <f>F16</f>
        <v/>
      </c>
    </row>
    <row r="22">
      <c r="A22" s="2" t="inlineStr">
        <is>
          <t>TV — Gordon</t>
        </is>
      </c>
      <c r="B22" s="32">
        <f>B21*(1+ib_tg)/(ib_WACC-ib_tg)</f>
        <v/>
      </c>
    </row>
    <row r="23">
      <c r="A23" s="2" t="inlineStr">
        <is>
          <t>TV — Exit Mult</t>
        </is>
      </c>
      <c r="B23" s="32">
        <f>ib_EBDA5*ib_exitm</f>
        <v/>
      </c>
    </row>
    <row r="24">
      <c r="A24" s="19" t="inlineStr">
        <is>
          <t>TV — Blended</t>
        </is>
      </c>
      <c r="B24" s="32">
        <f>AVERAGE(B22,B23)</f>
        <v/>
      </c>
    </row>
    <row r="25">
      <c r="A25" s="2" t="inlineStr">
        <is>
          <t>PV of TV</t>
        </is>
      </c>
      <c r="B25" s="32">
        <f>B24*F17</f>
        <v/>
      </c>
    </row>
    <row r="26">
      <c r="A26" s="19" t="inlineStr">
        <is>
          <t>Enterprise Value</t>
        </is>
      </c>
      <c r="B26" s="32">
        <f>B20+B25</f>
        <v/>
      </c>
    </row>
    <row r="27">
      <c r="A27" s="2" t="inlineStr">
        <is>
          <t>Less: Net Debt</t>
        </is>
      </c>
      <c r="B27" s="32">
        <f>ib_netdebt</f>
        <v/>
      </c>
    </row>
    <row r="28">
      <c r="A28" s="19" t="inlineStr">
        <is>
          <t>Equity Value</t>
        </is>
      </c>
      <c r="B28" s="32">
        <f>B26-B27</f>
        <v/>
      </c>
    </row>
    <row r="29">
      <c r="A29" s="2" t="inlineStr">
        <is>
          <t>Diluted Shares</t>
        </is>
      </c>
      <c r="B29" s="33">
        <f>ib_shares</f>
        <v/>
      </c>
    </row>
    <row r="30">
      <c r="A30" s="19" t="inlineStr">
        <is>
          <t>Implied Price</t>
        </is>
      </c>
      <c r="B30" s="24">
        <f>B28/B29</f>
        <v/>
      </c>
    </row>
    <row r="31">
      <c r="A31" s="2" t="inlineStr">
        <is>
          <t>Current Price</t>
        </is>
      </c>
      <c r="B31" s="23">
        <f>ib_px</f>
        <v/>
      </c>
    </row>
    <row r="32">
      <c r="A32" s="19" t="inlineStr">
        <is>
          <t>Upside %</t>
        </is>
      </c>
      <c r="B32" s="25">
        <f>B30/B31-1</f>
        <v/>
      </c>
    </row>
    <row r="33">
      <c r="A33" s="2" t="inlineStr">
        <is>
          <t>TV % of EV</t>
        </is>
      </c>
      <c r="B33" s="3">
        <f>B25/B26</f>
        <v/>
      </c>
    </row>
    <row r="40">
      <c r="A40" s="19" t="inlineStr">
        <is>
          <t>Headline DCF Px</t>
        </is>
      </c>
      <c r="B40" s="24">
        <f>B30</f>
        <v/>
      </c>
    </row>
  </sheetData>
  <mergeCells count="2">
    <mergeCell ref="A3:B3"/>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38.7109375" customWidth="1" min="1" max="1"/>
    <col width="16.7109375" customWidth="1" min="2" max="8"/>
  </cols>
  <sheetData>
    <row r="1">
      <c r="A1" s="11" t="inlineStr">
        <is>
          <t>LBO Model — Sources/Uses, Debt Schedule, Returns</t>
        </is>
      </c>
      <c r="B1" s="27" t="n"/>
      <c r="C1" s="27" t="n"/>
      <c r="D1" s="27" t="n"/>
      <c r="E1" s="27" t="n"/>
      <c r="F1" s="27" t="n"/>
      <c r="G1" s="27" t="n"/>
      <c r="H1" s="22" t="n"/>
    </row>
    <row r="3">
      <c r="A3" s="4" t="inlineStr">
        <is>
          <t>Sources</t>
        </is>
      </c>
      <c r="B3" s="27" t="n"/>
      <c r="C3" s="22" t="n"/>
    </row>
    <row r="4">
      <c r="A4" s="16" t="inlineStr">
        <is>
          <t>Source</t>
        </is>
      </c>
      <c r="B4" s="16" t="inlineStr">
        <is>
          <t>$ Amount</t>
        </is>
      </c>
      <c r="C4" s="16" t="inlineStr">
        <is>
          <t>% Total</t>
        </is>
      </c>
    </row>
    <row r="5">
      <c r="A5" s="2" t="inlineStr">
        <is>
          <t>New Term Debt</t>
        </is>
      </c>
      <c r="B5" s="32">
        <f>ib_EBDA1*ib_leverage</f>
        <v/>
      </c>
      <c r="C5" s="3">
        <f>B5/B7</f>
        <v/>
      </c>
    </row>
    <row r="6">
      <c r="A6" s="2" t="inlineStr">
        <is>
          <t>Sponsor Equity</t>
        </is>
      </c>
      <c r="B6" s="32">
        <f>B12-B5+B11</f>
        <v/>
      </c>
      <c r="C6" s="3">
        <f>B6/B7</f>
        <v/>
      </c>
    </row>
    <row r="7">
      <c r="A7" s="19" t="inlineStr">
        <is>
          <t>Total Sources</t>
        </is>
      </c>
      <c r="B7" s="32">
        <f>B5+B6</f>
        <v/>
      </c>
      <c r="C7" s="3">
        <f>1</f>
        <v/>
      </c>
    </row>
    <row r="9">
      <c r="A9" s="4" t="inlineStr">
        <is>
          <t>Uses</t>
        </is>
      </c>
      <c r="B9" s="27" t="n"/>
      <c r="C9" s="22" t="n"/>
    </row>
    <row r="10">
      <c r="A10" s="16" t="inlineStr">
        <is>
          <t>Use</t>
        </is>
      </c>
      <c r="B10" s="16" t="inlineStr">
        <is>
          <t>$ Amount</t>
        </is>
      </c>
      <c r="C10" s="16" t="n"/>
    </row>
    <row r="11">
      <c r="A11" s="2" t="inlineStr">
        <is>
          <t>Transaction Fees (2% EV)</t>
        </is>
      </c>
      <c r="B11" s="32">
        <f>B12*0.02</f>
        <v/>
      </c>
    </row>
    <row r="12">
      <c r="A12" s="2" t="inlineStr">
        <is>
          <t>Equity Purchase Price</t>
        </is>
      </c>
      <c r="B12" s="32">
        <f>ib_EBDA1*ib_entrym</f>
        <v/>
      </c>
    </row>
    <row r="13">
      <c r="A13" s="19" t="inlineStr">
        <is>
          <t>Total Uses</t>
        </is>
      </c>
      <c r="B13" s="32">
        <f>B11+B12</f>
        <v/>
      </c>
    </row>
    <row r="15">
      <c r="A15" s="4" t="inlineStr">
        <is>
          <t>Debt schedule (formulas)</t>
        </is>
      </c>
      <c r="B15" s="27" t="n"/>
      <c r="C15" s="27" t="n"/>
      <c r="D15" s="27" t="n"/>
      <c r="E15" s="27" t="n"/>
      <c r="F15" s="27" t="n"/>
      <c r="G15" s="22" t="n"/>
    </row>
    <row r="16">
      <c r="A16" s="16" t="inlineStr">
        <is>
          <t>Year</t>
        </is>
      </c>
      <c r="B16" s="16" t="inlineStr">
        <is>
          <t>Y1</t>
        </is>
      </c>
      <c r="C16" s="16" t="inlineStr">
        <is>
          <t>Y2</t>
        </is>
      </c>
      <c r="D16" s="16" t="inlineStr">
        <is>
          <t>Y3</t>
        </is>
      </c>
      <c r="E16" s="16" t="inlineStr">
        <is>
          <t>Y4</t>
        </is>
      </c>
      <c r="F16" s="16" t="inlineStr">
        <is>
          <t>Y5</t>
        </is>
      </c>
    </row>
    <row r="17">
      <c r="A17" s="2" t="inlineStr">
        <is>
          <t>Beginning Debt</t>
        </is>
      </c>
      <c r="B17" s="32">
        <f>B5</f>
        <v/>
      </c>
      <c r="C17" s="32">
        <f>B26</f>
        <v/>
      </c>
      <c r="D17" s="32">
        <f>C26</f>
        <v/>
      </c>
      <c r="E17" s="32">
        <f>D26</f>
        <v/>
      </c>
      <c r="F17" s="32">
        <f>E26</f>
        <v/>
      </c>
    </row>
    <row r="18">
      <c r="A18" s="2" t="inlineStr">
        <is>
          <t>Mandatory Amort (1%)</t>
        </is>
      </c>
      <c r="B18" s="32">
        <f>B17*0.01</f>
        <v/>
      </c>
      <c r="C18" s="32">
        <f>C17*0.01</f>
        <v/>
      </c>
      <c r="D18" s="32">
        <f>D17*0.01</f>
        <v/>
      </c>
      <c r="E18" s="32">
        <f>E17*0.01</f>
        <v/>
      </c>
      <c r="F18" s="32">
        <f>F17*0.01</f>
        <v/>
      </c>
    </row>
    <row r="19">
      <c r="A19" s="2" t="inlineStr">
        <is>
          <t>Cash Interest</t>
        </is>
      </c>
      <c r="B19" s="32">
        <f>B17*ib_kdLBO</f>
        <v/>
      </c>
      <c r="C19" s="32">
        <f>C17*ib_kdLBO</f>
        <v/>
      </c>
      <c r="D19" s="32">
        <f>D17*ib_kdLBO</f>
        <v/>
      </c>
      <c r="E19" s="32">
        <f>E17*ib_kdLBO</f>
        <v/>
      </c>
      <c r="F19" s="32">
        <f>F17*ib_kdLBO</f>
        <v/>
      </c>
    </row>
    <row r="20">
      <c r="A20" s="2" t="inlineStr">
        <is>
          <t>EBITDA</t>
        </is>
      </c>
      <c r="B20" s="32">
        <f>Forecast!C5</f>
        <v/>
      </c>
      <c r="C20" s="32">
        <f>Forecast!D5</f>
        <v/>
      </c>
      <c r="D20" s="32">
        <f>Forecast!E5</f>
        <v/>
      </c>
      <c r="E20" s="32">
        <f>Forecast!F5</f>
        <v/>
      </c>
      <c r="F20" s="32">
        <f>Forecast!G5</f>
        <v/>
      </c>
    </row>
    <row r="21">
      <c r="A21" s="2" t="inlineStr">
        <is>
          <t>Less: Cash Taxes</t>
        </is>
      </c>
      <c r="B21" s="32">
        <f>(Forecast!C8-B19)*ib_tax</f>
        <v/>
      </c>
      <c r="C21" s="32">
        <f>(Forecast!D8-C19)*ib_tax</f>
        <v/>
      </c>
      <c r="D21" s="32">
        <f>(Forecast!E8-D19)*ib_tax</f>
        <v/>
      </c>
      <c r="E21" s="32">
        <f>(Forecast!F8-E19)*ib_tax</f>
        <v/>
      </c>
      <c r="F21" s="32">
        <f>(Forecast!G8-F19)*ib_tax</f>
        <v/>
      </c>
    </row>
    <row r="22">
      <c r="A22" s="2" t="inlineStr">
        <is>
          <t>Less: Capex</t>
        </is>
      </c>
      <c r="B22" s="32">
        <f>Forecast!C11</f>
        <v/>
      </c>
      <c r="C22" s="32">
        <f>Forecast!D11</f>
        <v/>
      </c>
      <c r="D22" s="32">
        <f>Forecast!E11</f>
        <v/>
      </c>
      <c r="E22" s="32">
        <f>Forecast!F11</f>
        <v/>
      </c>
      <c r="F22" s="32">
        <f>Forecast!G11</f>
        <v/>
      </c>
    </row>
    <row r="23">
      <c r="A23" s="2" t="inlineStr">
        <is>
          <t>Less: Δ NWC</t>
        </is>
      </c>
      <c r="B23" s="32">
        <f>Forecast!C12</f>
        <v/>
      </c>
      <c r="C23" s="32">
        <f>Forecast!D12</f>
        <v/>
      </c>
      <c r="D23" s="32">
        <f>Forecast!E12</f>
        <v/>
      </c>
      <c r="E23" s="32">
        <f>Forecast!F12</f>
        <v/>
      </c>
      <c r="F23" s="32">
        <f>Forecast!G12</f>
        <v/>
      </c>
    </row>
    <row r="24">
      <c r="A24" s="2" t="inlineStr">
        <is>
          <t>CFADS</t>
        </is>
      </c>
      <c r="B24" s="32">
        <f>B20-B19-MAX(0,B21)-B22-B23</f>
        <v/>
      </c>
      <c r="C24" s="32">
        <f>C20-C19-MAX(0,C21)-C22-C23</f>
        <v/>
      </c>
      <c r="D24" s="32">
        <f>D20-D19-MAX(0,D21)-D22-D23</f>
        <v/>
      </c>
      <c r="E24" s="32">
        <f>E20-E19-MAX(0,E21)-E22-E23</f>
        <v/>
      </c>
      <c r="F24" s="32">
        <f>F20-F19-MAX(0,F21)-F22-F23</f>
        <v/>
      </c>
    </row>
    <row r="25">
      <c r="A25" s="2" t="inlineStr">
        <is>
          <t>Cash Sweep</t>
        </is>
      </c>
      <c r="B25" s="32">
        <f>MIN(MAX(0,(B24-B18))*ib_sweep,MAX(0,B17-B18))</f>
        <v/>
      </c>
      <c r="C25" s="32">
        <f>MIN(MAX(0,(C24-C18))*ib_sweep,MAX(0,C17-C18))</f>
        <v/>
      </c>
      <c r="D25" s="32">
        <f>MIN(MAX(0,(D24-D18))*ib_sweep,MAX(0,D17-D18))</f>
        <v/>
      </c>
      <c r="E25" s="32">
        <f>MIN(MAX(0,(E24-E18))*ib_sweep,MAX(0,E17-E18))</f>
        <v/>
      </c>
      <c r="F25" s="32">
        <f>MIN(MAX(0,(F24-F18))*ib_sweep,MAX(0,F17-F18))</f>
        <v/>
      </c>
    </row>
    <row r="26">
      <c r="A26" s="2" t="inlineStr">
        <is>
          <t>Ending Debt</t>
        </is>
      </c>
      <c r="B26" s="32">
        <f>B17-B18-B25</f>
        <v/>
      </c>
      <c r="C26" s="32">
        <f>C17-C18-C25</f>
        <v/>
      </c>
      <c r="D26" s="32">
        <f>D17-D18-D25</f>
        <v/>
      </c>
      <c r="E26" s="32">
        <f>E17-E18-E25</f>
        <v/>
      </c>
      <c r="F26" s="32">
        <f>F17-F18-F25</f>
        <v/>
      </c>
    </row>
    <row r="27">
      <c r="A27" s="2" t="inlineStr">
        <is>
          <t>Net Debt / EBITDA</t>
        </is>
      </c>
      <c r="B27" s="26">
        <f>B26/B20</f>
        <v/>
      </c>
      <c r="C27" s="26">
        <f>C26/C20</f>
        <v/>
      </c>
      <c r="D27" s="26">
        <f>D26/D20</f>
        <v/>
      </c>
      <c r="E27" s="26">
        <f>E26/E20</f>
        <v/>
      </c>
      <c r="F27" s="26">
        <f>F26/F20</f>
        <v/>
      </c>
    </row>
    <row r="28">
      <c r="A28" s="2" t="inlineStr">
        <is>
          <t>Interest Coverage</t>
        </is>
      </c>
      <c r="B28" s="26">
        <f>B20/B19</f>
        <v/>
      </c>
      <c r="C28" s="26">
        <f>C20/C19</f>
        <v/>
      </c>
      <c r="D28" s="26">
        <f>D20/D19</f>
        <v/>
      </c>
      <c r="E28" s="26">
        <f>E20/E19</f>
        <v/>
      </c>
      <c r="F28" s="26">
        <f>F20/F19</f>
        <v/>
      </c>
    </row>
    <row r="30">
      <c r="A30" s="4" t="inlineStr">
        <is>
          <t>Sponsor Returns</t>
        </is>
      </c>
      <c r="B30" s="27" t="n"/>
      <c r="C30" s="22" t="n"/>
    </row>
    <row r="31">
      <c r="A31" s="2" t="inlineStr">
        <is>
          <t>Exit Year EBITDA</t>
        </is>
      </c>
      <c r="B31" s="32">
        <f>Forecast!G5</f>
        <v/>
      </c>
    </row>
    <row r="32">
      <c r="A32" s="2" t="inlineStr">
        <is>
          <t>Exit Multiple</t>
        </is>
      </c>
      <c r="B32" s="26">
        <f>ib_exitm</f>
        <v/>
      </c>
    </row>
    <row r="33">
      <c r="A33" s="19" t="inlineStr">
        <is>
          <t>Exit EV</t>
        </is>
      </c>
      <c r="B33" s="32">
        <f>B31*B32</f>
        <v/>
      </c>
    </row>
    <row r="34">
      <c r="A34" s="2" t="inlineStr">
        <is>
          <t>Less: Exit Debt</t>
        </is>
      </c>
      <c r="B34" s="32">
        <f>F26</f>
        <v/>
      </c>
    </row>
    <row r="35">
      <c r="A35" s="2" t="inlineStr">
        <is>
          <t>Plus: Retained Cash</t>
        </is>
      </c>
      <c r="B35" s="32">
        <f>SUMPRODUCT((B24:F24-B25:F25-B18:F18&gt;0)*(B24:F24-B25:F25-B18:F18))</f>
        <v/>
      </c>
    </row>
    <row r="36">
      <c r="A36" s="19" t="inlineStr">
        <is>
          <t>Equity to Sponsor</t>
        </is>
      </c>
      <c r="B36" s="32">
        <f>B33-B34+B35</f>
        <v/>
      </c>
    </row>
    <row r="37">
      <c r="A37" s="2" t="inlineStr">
        <is>
          <t>Sponsor Equity Invested</t>
        </is>
      </c>
      <c r="B37" s="32">
        <f>B6</f>
        <v/>
      </c>
    </row>
    <row r="38">
      <c r="A38" s="19" t="inlineStr">
        <is>
          <t>MOIC</t>
        </is>
      </c>
      <c r="B38" s="24">
        <f>B36/B37</f>
        <v/>
      </c>
    </row>
    <row r="39">
      <c r="A39" s="2" t="inlineStr">
        <is>
          <t>Hold Period</t>
        </is>
      </c>
      <c r="B39" s="33">
        <f>ib_hold</f>
        <v/>
      </c>
    </row>
    <row r="40">
      <c r="A40" s="19" t="inlineStr">
        <is>
          <t>IRR</t>
        </is>
      </c>
      <c r="B40" s="25">
        <f>B38^(1/B39)-1</f>
        <v/>
      </c>
    </row>
    <row r="41">
      <c r="A41" s="19" t="inlineStr">
        <is>
          <t>MOIC (linked)</t>
        </is>
      </c>
      <c r="B41" s="24">
        <f>B38</f>
        <v/>
      </c>
    </row>
  </sheetData>
  <mergeCells count="5">
    <mergeCell ref="A9:C9"/>
    <mergeCell ref="A3:C3"/>
    <mergeCell ref="A15:G15"/>
    <mergeCell ref="A30:C30"/>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6.7109375" customWidth="1" min="1" max="1"/>
    <col width="18.7109375" customWidth="1" min="2" max="4"/>
  </cols>
  <sheetData>
    <row r="1">
      <c r="A1" s="11" t="inlineStr">
        <is>
          <t>LBO Returns Attribution</t>
        </is>
      </c>
      <c r="B1" s="27" t="n"/>
      <c r="C1" s="27" t="n"/>
      <c r="D1" s="22" t="n"/>
    </row>
    <row r="3">
      <c r="A3" s="4" t="inlineStr">
        <is>
          <t>Decomposition of value created over hold</t>
        </is>
      </c>
      <c r="B3" s="27" t="n"/>
      <c r="C3" s="27" t="n"/>
      <c r="D3" s="22" t="n"/>
    </row>
    <row r="4">
      <c r="A4" s="16" t="inlineStr">
        <is>
          <t>Driver</t>
        </is>
      </c>
      <c r="B4" s="16" t="inlineStr">
        <is>
          <t>$ Contribution</t>
        </is>
      </c>
      <c r="C4" s="16" t="inlineStr">
        <is>
          <t>% of Total</t>
        </is>
      </c>
      <c r="D4" s="16" t="inlineStr">
        <is>
          <t>Notes</t>
        </is>
      </c>
    </row>
    <row r="5">
      <c r="A5" s="2" t="inlineStr">
        <is>
          <t>EBITDA Growth</t>
        </is>
      </c>
      <c r="B5" s="32" t="n">
        <v>33789099032.88342</v>
      </c>
      <c r="C5" s="3" t="n">
        <v>0.8929043586528561</v>
      </c>
      <c r="D5" s="10">
        <f> (Exit EBITDA − Entry EBITDA) × Entry Multiple</f>
        <v/>
      </c>
    </row>
    <row r="6">
      <c r="A6" s="2" t="inlineStr">
        <is>
          <t>Multiple Expansion / (Compression)</t>
        </is>
      </c>
      <c r="B6" s="32" t="n">
        <v>0</v>
      </c>
      <c r="C6" s="3" t="n">
        <v>0</v>
      </c>
      <c r="D6" s="10">
        <f> Exit EBITDA × (Exit Mult − Entry Mult)</f>
        <v/>
      </c>
    </row>
    <row r="7">
      <c r="A7" s="2" t="inlineStr">
        <is>
          <t>Debt Paydown + Cash Generation</t>
        </is>
      </c>
      <c r="B7" s="32" t="n">
        <v>4052690746.104508</v>
      </c>
      <c r="C7" s="3" t="n">
        <v>0.1070956413471439</v>
      </c>
      <c r="D7" s="10">
        <f> ΔDebt + retained cash + recaps</f>
        <v/>
      </c>
    </row>
    <row r="8">
      <c r="A8" s="19" t="inlineStr">
        <is>
          <t>Total Value Creation</t>
        </is>
      </c>
      <c r="B8" s="32" t="n">
        <v>37841789778.98793</v>
      </c>
      <c r="C8" s="3" t="n">
        <v>1</v>
      </c>
      <c r="D8" s="10" t="inlineStr">
        <is>
          <t>Sum of above (≈ change in sponsor equity)</t>
        </is>
      </c>
    </row>
    <row r="11">
      <c r="A11" s="4" t="inlineStr">
        <is>
          <t>How to read this</t>
        </is>
      </c>
      <c r="B11" s="27" t="n"/>
      <c r="C11" s="27" t="n"/>
      <c r="D11" s="22" t="n"/>
    </row>
    <row r="12">
      <c r="A12" s="10" t="inlineStr">
        <is>
          <t>If EBITDA Growth dominates, the deal works on operational improvement. If Multiple Expansion dominates, the thesis is multiple re-rating — fragile. If Debt Paydown dominates, the deal is a financial-engineering bet — sensitive to interest rate environment and refinancing risk.</t>
        </is>
      </c>
    </row>
    <row r="13"/>
    <row r="14"/>
    <row r="15"/>
    <row r="16"/>
  </sheetData>
  <mergeCells count="4">
    <mergeCell ref="A1:D1"/>
    <mergeCell ref="A3:D3"/>
    <mergeCell ref="A12:D16"/>
    <mergeCell ref="A11:D1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36.7109375" customWidth="1" min="1" max="1"/>
    <col width="18.7109375" customWidth="1" min="2" max="5"/>
  </cols>
  <sheetData>
    <row r="1">
      <c r="A1" s="11" t="inlineStr">
        <is>
          <t>M&amp;A Accretion / Dilution</t>
        </is>
      </c>
      <c r="B1" s="27" t="n"/>
      <c r="C1" s="27" t="n"/>
      <c r="D1" s="27" t="n"/>
      <c r="E1" s="22" t="n"/>
    </row>
    <row r="3">
      <c r="A3" s="4" t="inlineStr">
        <is>
          <t>Transaction summary</t>
        </is>
      </c>
      <c r="B3" s="22" t="n"/>
    </row>
    <row r="4">
      <c r="A4" s="2" t="inlineStr">
        <is>
          <t>Target Current Price</t>
        </is>
      </c>
      <c r="B4" s="32" t="n">
        <v>65</v>
      </c>
    </row>
    <row r="5">
      <c r="A5" s="2" t="inlineStr">
        <is>
          <t>Premium %</t>
        </is>
      </c>
      <c r="B5" s="32" t="n">
        <v>0.3</v>
      </c>
    </row>
    <row r="6">
      <c r="A6" s="2" t="inlineStr">
        <is>
          <t>Offer Price/Share</t>
        </is>
      </c>
      <c r="B6" s="32" t="n">
        <v>84.5</v>
      </c>
    </row>
    <row r="7">
      <c r="A7" s="2" t="inlineStr">
        <is>
          <t>Target Shares Outstanding</t>
        </is>
      </c>
      <c r="B7" s="32" t="n">
        <v>230769230.7692308</v>
      </c>
    </row>
    <row r="8">
      <c r="A8" s="2" t="inlineStr">
        <is>
          <t>Equity Purchase Price</t>
        </is>
      </c>
      <c r="B8" s="32" t="n">
        <v>19500000000</v>
      </c>
    </row>
    <row r="9">
      <c r="A9" s="2" t="inlineStr">
        <is>
          <t>Target Net Debt Assumed</t>
        </is>
      </c>
      <c r="B9" s="32" t="n">
        <v>3050000000</v>
      </c>
    </row>
    <row r="10">
      <c r="A10" s="2" t="inlineStr">
        <is>
          <t>Deal Fees</t>
        </is>
      </c>
      <c r="B10" s="32" t="n">
        <v>338250000</v>
      </c>
    </row>
    <row r="11">
      <c r="A11" s="2" t="inlineStr">
        <is>
          <t>Total Deal Value</t>
        </is>
      </c>
      <c r="B11" s="32" t="n">
        <v>22550000000</v>
      </c>
    </row>
    <row r="14">
      <c r="A14" s="4" t="inlineStr">
        <is>
          <t>Pro-forma EPS by financing mix</t>
        </is>
      </c>
      <c r="B14" s="27" t="n"/>
      <c r="C14" s="27" t="n"/>
      <c r="D14" s="27" t="n"/>
      <c r="E14" s="22" t="n"/>
    </row>
    <row r="15">
      <c r="A15" s="16" t="inlineStr">
        <is>
          <t>Metric</t>
        </is>
      </c>
      <c r="B15" s="16" t="inlineStr">
        <is>
          <t>All Stock</t>
        </is>
      </c>
      <c r="C15" s="16" t="inlineStr">
        <is>
          <t>All Cash</t>
        </is>
      </c>
      <c r="D15" s="16" t="inlineStr">
        <is>
          <t>50/50 Mix</t>
        </is>
      </c>
    </row>
    <row r="16">
      <c r="A16" s="2" t="inlineStr">
        <is>
          <t>Stock %</t>
        </is>
      </c>
      <c r="B16" s="3" t="n">
        <v>1</v>
      </c>
      <c r="C16" s="3" t="n">
        <v>0</v>
      </c>
      <c r="D16" s="3" t="n">
        <v>0.5</v>
      </c>
    </row>
    <row r="17">
      <c r="A17" s="2" t="inlineStr">
        <is>
          <t>Cash %</t>
        </is>
      </c>
      <c r="B17" s="3" t="n">
        <v>0</v>
      </c>
      <c r="C17" s="3" t="n">
        <v>1</v>
      </c>
      <c r="D17" s="3" t="n">
        <v>0.5</v>
      </c>
    </row>
    <row r="18">
      <c r="A18" s="2" t="inlineStr">
        <is>
          <t>New Shares Issued</t>
        </is>
      </c>
      <c r="B18" s="32" t="n">
        <v>179806362.3789765</v>
      </c>
      <c r="C18" s="32" t="n">
        <v>0</v>
      </c>
      <c r="D18" s="32" t="n">
        <v>89903181.18948825</v>
      </c>
    </row>
    <row r="19">
      <c r="A19" s="2" t="inlineStr">
        <is>
          <t>New Debt Raised</t>
        </is>
      </c>
      <c r="B19" s="32" t="n">
        <v>338250000</v>
      </c>
      <c r="C19" s="32" t="n">
        <v>19838250000</v>
      </c>
      <c r="D19" s="32" t="n">
        <v>10088250000</v>
      </c>
    </row>
    <row r="20">
      <c r="A20" s="2" t="inlineStr">
        <is>
          <t>After-tax Interest</t>
        </is>
      </c>
      <c r="B20" s="32" t="n">
        <v>20125875</v>
      </c>
      <c r="C20" s="32" t="n">
        <v>1180375875</v>
      </c>
      <c r="D20" s="32" t="n">
        <v>600250875.0000001</v>
      </c>
    </row>
    <row r="21">
      <c r="A21" s="2" t="inlineStr">
        <is>
          <t>Synergies (after-tax)</t>
        </is>
      </c>
      <c r="B21" s="32" t="n">
        <v>524343750</v>
      </c>
      <c r="C21" s="32" t="n">
        <v>524343750</v>
      </c>
      <c r="D21" s="32" t="n">
        <v>524343750</v>
      </c>
    </row>
    <row r="22">
      <c r="A22" s="2" t="inlineStr">
        <is>
          <t>Pro-forma Net Income</t>
        </is>
      </c>
      <c r="B22" s="32" t="n">
        <v>8124217875</v>
      </c>
      <c r="C22" s="32" t="n">
        <v>6963967875</v>
      </c>
      <c r="D22" s="32" t="n">
        <v>7544092875</v>
      </c>
    </row>
    <row r="23">
      <c r="A23" s="2" t="inlineStr">
        <is>
          <t>Pro-forma Shares</t>
        </is>
      </c>
      <c r="B23" s="32" t="n">
        <v>1299806362.378977</v>
      </c>
      <c r="C23" s="32" t="n">
        <v>1120000000</v>
      </c>
      <c r="D23" s="32" t="n">
        <v>1209903181.189488</v>
      </c>
    </row>
    <row r="24">
      <c r="A24" s="2" t="inlineStr">
        <is>
          <t>Pro-forma EPS</t>
        </is>
      </c>
      <c r="B24" s="32" t="n">
        <v>6.250329364545203</v>
      </c>
      <c r="C24" s="32" t="n">
        <v>6.217828459821429</v>
      </c>
      <c r="D24" s="32" t="n">
        <v>6.235286419846587</v>
      </c>
    </row>
    <row r="25">
      <c r="A25" s="2" t="inlineStr">
        <is>
          <t>Acquirer Standalone EPS</t>
        </is>
      </c>
      <c r="B25" s="32" t="n">
        <v>6.446428571428571</v>
      </c>
      <c r="C25" s="32" t="n">
        <v>6.446428571428571</v>
      </c>
      <c r="D25" s="32" t="n">
        <v>6.446428571428571</v>
      </c>
    </row>
    <row r="26">
      <c r="A26" s="2" t="inlineStr">
        <is>
          <t>Accretion / (Dilution) %</t>
        </is>
      </c>
      <c r="B26" s="3" t="n">
        <v>-0.03041982156639511</v>
      </c>
      <c r="C26" s="3" t="n">
        <v>-0.0354615131578947</v>
      </c>
      <c r="D26" s="3" t="n">
        <v>-0.03275335315399197</v>
      </c>
    </row>
  </sheetData>
  <mergeCells count="3">
    <mergeCell ref="A1:E1"/>
    <mergeCell ref="A3:B3"/>
    <mergeCell ref="A14:E14"/>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28"/>
  <sheetViews>
    <sheetView workbookViewId="0">
      <selection activeCell="A1" sqref="A1"/>
    </sheetView>
  </sheetViews>
  <sheetFormatPr baseColWidth="8" defaultRowHeight="15"/>
  <cols>
    <col width="22.7109375" customWidth="1" min="1" max="1"/>
    <col width="14.7109375" customWidth="1" min="2" max="26"/>
  </cols>
  <sheetData>
    <row r="1">
      <c r="A1" s="11" t="inlineStr">
        <is>
          <t>Comparable Company Analysis</t>
        </is>
      </c>
      <c r="B1" s="27" t="n"/>
      <c r="C1" s="27" t="n"/>
      <c r="D1" s="27" t="n"/>
      <c r="E1" s="27" t="n"/>
      <c r="F1" s="27" t="n"/>
      <c r="G1" s="27" t="n"/>
      <c r="H1" s="27" t="n"/>
      <c r="I1" s="27" t="n"/>
      <c r="J1" s="27" t="n"/>
      <c r="K1" s="27" t="n"/>
      <c r="L1" s="27" t="n"/>
      <c r="M1" s="22" t="n"/>
    </row>
    <row r="3">
      <c r="A3" s="16" t="inlineStr">
        <is>
          <t>Ticker</t>
        </is>
      </c>
      <c r="B3" s="16" t="inlineStr">
        <is>
          <t>Name</t>
        </is>
      </c>
      <c r="C3" s="16" t="inlineStr">
        <is>
          <t>Sector</t>
        </is>
      </c>
      <c r="D3" s="16" t="inlineStr">
        <is>
          <t>Industry</t>
        </is>
      </c>
      <c r="E3" s="16" t="inlineStr">
        <is>
          <t>Price</t>
        </is>
      </c>
      <c r="F3" s="16" t="inlineStr">
        <is>
          <t>Market Cap</t>
        </is>
      </c>
      <c r="G3" s="16" t="inlineStr">
        <is>
          <t>Enterprise Value</t>
        </is>
      </c>
      <c r="H3" s="16" t="inlineStr">
        <is>
          <t>Revenue (LTM)</t>
        </is>
      </c>
      <c r="I3" s="16" t="inlineStr">
        <is>
          <t>EBITDA (LTM, Adj)</t>
        </is>
      </c>
      <c r="J3" s="16" t="inlineStr">
        <is>
          <t>Net Income (LTM)</t>
        </is>
      </c>
      <c r="K3" s="16" t="inlineStr">
        <is>
          <t>Diluted EPS (LTM)</t>
        </is>
      </c>
      <c r="L3" s="16" t="inlineStr">
        <is>
          <t>Forward EPS</t>
        </is>
      </c>
      <c r="M3" s="16" t="inlineStr">
        <is>
          <t>Book Value</t>
        </is>
      </c>
      <c r="N3" s="16" t="inlineStr">
        <is>
          <t>EV/Revenue (LTM)</t>
        </is>
      </c>
      <c r="O3" s="16" t="inlineStr">
        <is>
          <t>EV/EBITDA (LTM)</t>
        </is>
      </c>
      <c r="P3" s="16" t="inlineStr">
        <is>
          <t>EV/EBITDA (yf)</t>
        </is>
      </c>
      <c r="Q3" s="16" t="inlineStr">
        <is>
          <t>P/E (LTM)</t>
        </is>
      </c>
      <c r="R3" s="16" t="inlineStr">
        <is>
          <t>Forward P/E</t>
        </is>
      </c>
      <c r="S3" s="16" t="inlineStr">
        <is>
          <t>P/B</t>
        </is>
      </c>
    </row>
    <row r="4">
      <c r="A4" t="inlineStr">
        <is>
          <t>MU</t>
        </is>
      </c>
      <c r="B4" t="inlineStr">
        <is>
          <t>Micron Technology, Inc.</t>
        </is>
      </c>
      <c r="C4" t="inlineStr">
        <is>
          <t>Technology</t>
        </is>
      </c>
      <c r="D4" t="inlineStr">
        <is>
          <t>Semiconductors</t>
        </is>
      </c>
      <c r="E4" s="32" t="n">
        <v>108.45</v>
      </c>
      <c r="F4" s="32" t="n">
        <v>121500000000</v>
      </c>
      <c r="G4" s="32" t="n">
        <v>125350000000</v>
      </c>
      <c r="H4" s="32" t="n">
        <v>35500000000</v>
      </c>
      <c r="I4" s="32" t="n">
        <v>15910000000</v>
      </c>
      <c r="J4" s="32" t="n">
        <v>7220000000</v>
      </c>
      <c r="K4" s="32" t="n">
        <v>6.45</v>
      </c>
      <c r="M4" s="32" t="n">
        <v>44300000000</v>
      </c>
      <c r="N4" s="26" t="n">
        <v>3.530985915492958</v>
      </c>
      <c r="O4" s="26" t="n">
        <v>7.878692646134507</v>
      </c>
      <c r="Q4" s="26" t="n">
        <v>16.81395348837209</v>
      </c>
      <c r="R4" s="26" t="n">
        <v>14.2</v>
      </c>
      <c r="S4" s="26" t="n">
        <v>2.742663656884876</v>
      </c>
    </row>
    <row r="5">
      <c r="A5" t="inlineStr">
        <is>
          <t>WDC</t>
        </is>
      </c>
      <c r="B5" t="inlineStr">
        <is>
          <t>Western Digital</t>
        </is>
      </c>
      <c r="C5" t="inlineStr">
        <is>
          <t>Technology</t>
        </is>
      </c>
      <c r="D5" t="inlineStr">
        <is>
          <t>Semiconductors</t>
        </is>
      </c>
      <c r="E5" s="32" t="n">
        <v>65</v>
      </c>
      <c r="F5" s="32" t="n">
        <v>15000000000</v>
      </c>
      <c r="G5" s="32" t="n">
        <v>19000000000</v>
      </c>
      <c r="H5" s="32" t="n">
        <v>12500000000</v>
      </c>
      <c r="I5" s="32" t="n">
        <v>1250000000</v>
      </c>
      <c r="J5" s="32" t="n">
        <v>400000000</v>
      </c>
      <c r="K5" s="32" t="n">
        <v>1.2</v>
      </c>
      <c r="M5" s="32" t="n">
        <v>5000000000</v>
      </c>
      <c r="N5" s="26" t="n">
        <v>1.52</v>
      </c>
      <c r="O5" s="26" t="n">
        <v>15.2</v>
      </c>
      <c r="Q5" s="26" t="n">
        <v>54.16666666666667</v>
      </c>
      <c r="S5" s="26" t="n">
        <v>3</v>
      </c>
    </row>
    <row r="6">
      <c r="A6" t="inlineStr">
        <is>
          <t>STX</t>
        </is>
      </c>
      <c r="B6" t="inlineStr">
        <is>
          <t>Seagate Technology</t>
        </is>
      </c>
      <c r="C6" t="inlineStr">
        <is>
          <t>Technology</t>
        </is>
      </c>
      <c r="D6" t="inlineStr">
        <is>
          <t>Semiconductors</t>
        </is>
      </c>
      <c r="E6" s="32" t="n">
        <v>102</v>
      </c>
      <c r="F6" s="32" t="n">
        <v>22000000000</v>
      </c>
      <c r="G6" s="32" t="n">
        <v>27000000000</v>
      </c>
      <c r="H6" s="32" t="n">
        <v>7000000000</v>
      </c>
      <c r="I6" s="32" t="n">
        <v>1260000000</v>
      </c>
      <c r="J6" s="32" t="n">
        <v>600000000</v>
      </c>
      <c r="K6" s="32" t="n">
        <v>2.85</v>
      </c>
      <c r="M6" s="32" t="n">
        <v>1500000000</v>
      </c>
      <c r="N6" s="26" t="n">
        <v>3.857142857142857</v>
      </c>
      <c r="O6" s="26" t="n">
        <v>21.42857142857143</v>
      </c>
      <c r="Q6" s="26" t="n">
        <v>35.78947368421053</v>
      </c>
      <c r="S6" s="26" t="n">
        <v>14.66666666666667</v>
      </c>
    </row>
    <row r="7">
      <c r="A7" t="inlineStr">
        <is>
          <t>NVDA</t>
        </is>
      </c>
      <c r="B7" t="inlineStr">
        <is>
          <t>NVIDIA</t>
        </is>
      </c>
      <c r="C7" t="inlineStr">
        <is>
          <t>Technology</t>
        </is>
      </c>
      <c r="D7" t="inlineStr">
        <is>
          <t>Semiconductors</t>
        </is>
      </c>
      <c r="E7" s="32" t="n">
        <v>122</v>
      </c>
      <c r="F7" s="32" t="n">
        <v>3000000000000</v>
      </c>
      <c r="G7" s="32" t="n">
        <v>2980000000000</v>
      </c>
      <c r="H7" s="32" t="n">
        <v>130000000000</v>
      </c>
      <c r="I7" s="32" t="n">
        <v>77400000000</v>
      </c>
      <c r="J7" s="32" t="n">
        <v>60000000000</v>
      </c>
      <c r="K7" s="32" t="n">
        <v>2.45</v>
      </c>
      <c r="M7" s="32" t="n">
        <v>50000000000</v>
      </c>
      <c r="N7" s="26" t="n">
        <v>22.92307692307692</v>
      </c>
      <c r="O7" s="26" t="n">
        <v>38.50129198966408</v>
      </c>
      <c r="Q7" s="26" t="n">
        <v>49.79591836734694</v>
      </c>
      <c r="S7" s="26" t="n">
        <v>60</v>
      </c>
    </row>
    <row r="8">
      <c r="A8" t="inlineStr">
        <is>
          <t>TSM</t>
        </is>
      </c>
      <c r="B8" t="inlineStr">
        <is>
          <t>Taiwan Semiconductor</t>
        </is>
      </c>
      <c r="C8" t="inlineStr">
        <is>
          <t>Technology</t>
        </is>
      </c>
      <c r="D8" t="inlineStr">
        <is>
          <t>Semiconductors</t>
        </is>
      </c>
      <c r="E8" s="32" t="n">
        <v>175</v>
      </c>
      <c r="F8" s="32" t="n">
        <v>900000000000</v>
      </c>
      <c r="G8" s="32" t="n">
        <v>870000000000</v>
      </c>
      <c r="H8" s="32" t="n">
        <v>90000000000</v>
      </c>
      <c r="I8" s="32" t="n">
        <v>58200000000</v>
      </c>
      <c r="J8" s="32" t="n">
        <v>33000000000</v>
      </c>
      <c r="K8" s="32" t="n">
        <v>6.3</v>
      </c>
      <c r="M8" s="32" t="n">
        <v>110000000000</v>
      </c>
      <c r="N8" s="26" t="n">
        <v>9.666666666666666</v>
      </c>
      <c r="O8" s="26" t="n">
        <v>14.94845360824742</v>
      </c>
      <c r="Q8" s="26" t="n">
        <v>27.77777777777778</v>
      </c>
      <c r="S8" s="26" t="n">
        <v>8.181818181818182</v>
      </c>
    </row>
    <row r="9">
      <c r="A9" t="inlineStr">
        <is>
          <t>AVGO</t>
        </is>
      </c>
      <c r="B9" t="inlineStr">
        <is>
          <t>Broadcom</t>
        </is>
      </c>
      <c r="C9" t="inlineStr">
        <is>
          <t>Technology</t>
        </is>
      </c>
      <c r="D9" t="inlineStr">
        <is>
          <t>Semiconductors</t>
        </is>
      </c>
      <c r="E9" s="32" t="n">
        <v>168</v>
      </c>
      <c r="F9" s="32" t="n">
        <v>790000000000</v>
      </c>
      <c r="G9" s="32" t="n">
        <v>850000000000</v>
      </c>
      <c r="H9" s="32" t="n">
        <v>50000000000</v>
      </c>
      <c r="I9" s="32" t="n">
        <v>29000000000</v>
      </c>
      <c r="J9" s="32" t="n">
        <v>14000000000</v>
      </c>
      <c r="K9" s="32" t="n">
        <v>3.1</v>
      </c>
      <c r="M9" s="32" t="n">
        <v>70000000000</v>
      </c>
      <c r="N9" s="26" t="n">
        <v>17</v>
      </c>
      <c r="O9" s="26" t="n">
        <v>29.31034482758621</v>
      </c>
      <c r="Q9" s="26" t="n">
        <v>54.19354838709678</v>
      </c>
      <c r="S9" s="26" t="n">
        <v>11.28571428571429</v>
      </c>
    </row>
    <row r="10">
      <c r="A10" t="inlineStr">
        <is>
          <t>INTC</t>
        </is>
      </c>
      <c r="B10" t="inlineStr">
        <is>
          <t>Intel</t>
        </is>
      </c>
      <c r="C10" t="inlineStr">
        <is>
          <t>Technology</t>
        </is>
      </c>
      <c r="D10" t="inlineStr">
        <is>
          <t>Semiconductors</t>
        </is>
      </c>
      <c r="E10" s="32" t="n">
        <v>23</v>
      </c>
      <c r="F10" s="32" t="n">
        <v>100000000000</v>
      </c>
      <c r="G10" s="32" t="n">
        <v>130000000000</v>
      </c>
      <c r="H10" s="32" t="n">
        <v>55000000000</v>
      </c>
      <c r="I10" s="32" t="n">
        <v>8900000000</v>
      </c>
      <c r="J10" s="32" t="n">
        <v>1000000000</v>
      </c>
      <c r="K10" s="32" t="n">
        <v>0.2</v>
      </c>
      <c r="M10" s="32" t="n">
        <v>110000000000</v>
      </c>
      <c r="N10" s="26" t="n">
        <v>2.363636363636364</v>
      </c>
      <c r="O10" s="26" t="n">
        <v>14.60674157303371</v>
      </c>
      <c r="Q10" s="26" t="n">
        <v>115</v>
      </c>
      <c r="S10" s="26" t="n">
        <v>0.9090909090909091</v>
      </c>
    </row>
    <row r="11">
      <c r="A11" t="inlineStr">
        <is>
          <t>AMD</t>
        </is>
      </c>
      <c r="B11" t="inlineStr">
        <is>
          <t>AMD</t>
        </is>
      </c>
      <c r="C11" t="inlineStr">
        <is>
          <t>Technology</t>
        </is>
      </c>
      <c r="D11" t="inlineStr">
        <is>
          <t>Semiconductors</t>
        </is>
      </c>
      <c r="E11" s="32" t="n">
        <v>137</v>
      </c>
      <c r="F11" s="32" t="n">
        <v>220000000000</v>
      </c>
      <c r="G11" s="32" t="n">
        <v>230000000000</v>
      </c>
      <c r="H11" s="32" t="n">
        <v>25000000000</v>
      </c>
      <c r="I11" s="32" t="n">
        <v>4500000000</v>
      </c>
      <c r="J11" s="32" t="n">
        <v>2000000000</v>
      </c>
      <c r="K11" s="32" t="n">
        <v>1.2</v>
      </c>
      <c r="M11" s="32" t="n">
        <v>55000000000</v>
      </c>
      <c r="N11" s="26" t="n">
        <v>9.199999999999999</v>
      </c>
      <c r="O11" s="26" t="n">
        <v>51.11111111111111</v>
      </c>
      <c r="Q11" s="26" t="n">
        <v>114.1666666666667</v>
      </c>
      <c r="S11" s="26" t="n">
        <v>4</v>
      </c>
    </row>
    <row r="13">
      <c r="A13" s="4" t="inlineStr">
        <is>
          <t>Peer-set statistics</t>
        </is>
      </c>
      <c r="B13" s="27" t="n"/>
      <c r="C13" s="27" t="n"/>
      <c r="D13" s="27" t="n"/>
      <c r="E13" s="27" t="n"/>
      <c r="F13" s="27" t="n"/>
      <c r="G13" s="27" t="n"/>
      <c r="H13" s="22" t="n"/>
    </row>
    <row r="14">
      <c r="A14" s="16" t="inlineStr">
        <is>
          <t>Multiple</t>
        </is>
      </c>
      <c r="B14" s="16" t="inlineStr">
        <is>
          <t>Min</t>
        </is>
      </c>
      <c r="C14" s="16" t="inlineStr">
        <is>
          <t>p25</t>
        </is>
      </c>
      <c r="D14" s="16" t="inlineStr">
        <is>
          <t>Median</t>
        </is>
      </c>
      <c r="E14" s="16" t="inlineStr">
        <is>
          <t>Mean</t>
        </is>
      </c>
      <c r="F14" s="16" t="inlineStr">
        <is>
          <t>p75</t>
        </is>
      </c>
      <c r="G14" s="16" t="inlineStr">
        <is>
          <t>Max</t>
        </is>
      </c>
      <c r="H14" s="16" t="inlineStr">
        <is>
          <t>Std</t>
        </is>
      </c>
    </row>
    <row r="15">
      <c r="A15" s="2" t="inlineStr">
        <is>
          <t>EV/Revenue (LTM)</t>
        </is>
      </c>
      <c r="B15" s="26" t="n">
        <v>1.52</v>
      </c>
      <c r="C15" s="26" t="n">
        <v>3.11038961038961</v>
      </c>
      <c r="D15" s="26" t="n">
        <v>9.199999999999999</v>
      </c>
      <c r="E15" s="26" t="n">
        <v>9.504360401503259</v>
      </c>
      <c r="F15" s="26" t="n">
        <v>13.33333333333333</v>
      </c>
      <c r="G15" s="26" t="n">
        <v>22.92307692307692</v>
      </c>
      <c r="H15" s="26" t="n">
        <v>7.989540677807207</v>
      </c>
    </row>
    <row r="16">
      <c r="A16" s="2" t="inlineStr">
        <is>
          <t>EV/EBITDA (LTM)</t>
        </is>
      </c>
      <c r="B16" s="26" t="n">
        <v>14.60674157303371</v>
      </c>
      <c r="C16" s="26" t="n">
        <v>15.07422680412371</v>
      </c>
      <c r="D16" s="26" t="n">
        <v>21.42857142857143</v>
      </c>
      <c r="E16" s="26" t="n">
        <v>26.44378779117342</v>
      </c>
      <c r="F16" s="26" t="n">
        <v>33.90581840862514</v>
      </c>
      <c r="G16" s="26" t="n">
        <v>51.11111111111111</v>
      </c>
      <c r="H16" s="26" t="n">
        <v>14.05886983790034</v>
      </c>
    </row>
    <row r="17">
      <c r="A17" s="2" t="inlineStr">
        <is>
          <t>EV/EBITDA (yf)</t>
        </is>
      </c>
      <c r="B17" s="26" t="n">
        <v>0</v>
      </c>
      <c r="C17" s="26" t="n">
        <v>0</v>
      </c>
      <c r="D17" s="26" t="n">
        <v>0</v>
      </c>
      <c r="E17" s="26" t="n">
        <v>0</v>
      </c>
      <c r="F17" s="26" t="n">
        <v>0</v>
      </c>
      <c r="G17" s="26" t="n">
        <v>0</v>
      </c>
      <c r="H17" s="26" t="n">
        <v>0</v>
      </c>
    </row>
    <row r="18">
      <c r="A18" s="2" t="inlineStr">
        <is>
          <t>P/E (LTM)</t>
        </is>
      </c>
      <c r="B18" s="26" t="n">
        <v>27.77777777777778</v>
      </c>
      <c r="C18" s="26" t="n">
        <v>42.79269602577873</v>
      </c>
      <c r="D18" s="26" t="n">
        <v>54.16666666666667</v>
      </c>
      <c r="E18" s="26" t="n">
        <v>64.41286450710933</v>
      </c>
      <c r="F18" s="26" t="n">
        <v>84.18010752688173</v>
      </c>
      <c r="G18" s="26" t="n">
        <v>115</v>
      </c>
      <c r="H18" s="26" t="n">
        <v>35.63472392478405</v>
      </c>
    </row>
    <row r="19">
      <c r="A19" s="2" t="inlineStr">
        <is>
          <t>Forward P/E</t>
        </is>
      </c>
      <c r="B19" s="26" t="n">
        <v>0</v>
      </c>
      <c r="C19" s="26" t="n">
        <v>0</v>
      </c>
      <c r="D19" s="26" t="n">
        <v>0</v>
      </c>
      <c r="E19" s="26" t="n">
        <v>0</v>
      </c>
      <c r="F19" s="26" t="n">
        <v>0</v>
      </c>
      <c r="G19" s="26" t="n">
        <v>0</v>
      </c>
      <c r="H19" s="26" t="n">
        <v>0</v>
      </c>
    </row>
    <row r="20">
      <c r="A20" s="2" t="inlineStr">
        <is>
          <t>P/B</t>
        </is>
      </c>
      <c r="B20" s="26" t="n">
        <v>0.9090909090909091</v>
      </c>
      <c r="C20" s="26" t="n">
        <v>3.5</v>
      </c>
      <c r="D20" s="26" t="n">
        <v>8.181818181818182</v>
      </c>
      <c r="E20" s="26" t="n">
        <v>14.57761286332715</v>
      </c>
      <c r="F20" s="26" t="n">
        <v>12.97619047619048</v>
      </c>
      <c r="G20" s="26" t="n">
        <v>60</v>
      </c>
      <c r="H20" s="26" t="n">
        <v>20.60622671079433</v>
      </c>
    </row>
    <row r="22">
      <c r="A22" s="4" t="inlineStr">
        <is>
          <t>Implied valuation w/ p25-p75 bands</t>
        </is>
      </c>
      <c r="B22" s="27" t="n"/>
      <c r="C22" s="27" t="n"/>
      <c r="D22" s="27" t="n"/>
      <c r="E22" s="27" t="n"/>
      <c r="F22" s="27" t="n"/>
      <c r="G22" s="22" t="n"/>
    </row>
    <row r="23">
      <c r="A23" s="16" t="inlineStr">
        <is>
          <t>Multiple</t>
        </is>
      </c>
      <c r="B23" s="16" t="inlineStr">
        <is>
          <t>Multiple</t>
        </is>
      </c>
      <c r="C23" s="16" t="inlineStr">
        <is>
          <t>p25 mult</t>
        </is>
      </c>
      <c r="D23" s="16" t="inlineStr">
        <is>
          <t>Median mult</t>
        </is>
      </c>
      <c r="E23" s="16" t="inlineStr">
        <is>
          <t>p75 mult</t>
        </is>
      </c>
      <c r="F23" s="16" t="inlineStr">
        <is>
          <t>Low $/sh</t>
        </is>
      </c>
      <c r="G23" s="16" t="inlineStr">
        <is>
          <t>High $/sh</t>
        </is>
      </c>
      <c r="H23" s="16" t="inlineStr">
        <is>
          <t>Median $/sh</t>
        </is>
      </c>
    </row>
    <row r="24">
      <c r="A24" s="2" t="inlineStr">
        <is>
          <t>EV/Revenue (LTM)</t>
        </is>
      </c>
      <c r="B24" s="26" t="n">
        <v>3.11038961038961</v>
      </c>
      <c r="C24" s="26" t="n">
        <v>9.199999999999999</v>
      </c>
      <c r="D24" s="26" t="n">
        <v>13.33333333333333</v>
      </c>
      <c r="E24" s="23" t="n">
        <v>95.15074211502784</v>
      </c>
      <c r="F24" s="23" t="n">
        <v>419.1815476190476</v>
      </c>
      <c r="G24" s="23" t="n">
        <v>257.1661448670377</v>
      </c>
    </row>
    <row r="25">
      <c r="A25" s="2" t="inlineStr">
        <is>
          <t>EV/EBITDA (LTM)</t>
        </is>
      </c>
      <c r="B25" s="26" t="n">
        <v>15.07422680412371</v>
      </c>
      <c r="C25" s="26" t="n">
        <v>21.42857142857143</v>
      </c>
      <c r="D25" s="26" t="n">
        <v>33.90581840862514</v>
      </c>
      <c r="E25" s="23" t="n">
        <v>210.6972754050074</v>
      </c>
      <c r="F25" s="23" t="n">
        <v>478.2067597153804</v>
      </c>
      <c r="G25" s="23" t="n">
        <v>344.4520175601939</v>
      </c>
    </row>
    <row r="26">
      <c r="A26" s="2" t="inlineStr">
        <is>
          <t>Forward P/E</t>
        </is>
      </c>
    </row>
    <row r="27">
      <c r="A27" s="2" t="inlineStr">
        <is>
          <t>P/E (LTM)</t>
        </is>
      </c>
      <c r="B27" s="26" t="n">
        <v>42.79269602577873</v>
      </c>
      <c r="C27" s="26" t="n">
        <v>54.16666666666667</v>
      </c>
      <c r="D27" s="26" t="n">
        <v>84.18010752688173</v>
      </c>
      <c r="E27" s="23" t="n">
        <v>276.0128893662728</v>
      </c>
      <c r="F27" s="23" t="n">
        <v>542.9616935483872</v>
      </c>
      <c r="G27" s="23" t="n">
        <v>409.48729145733</v>
      </c>
    </row>
    <row r="28">
      <c r="A28" s="2" t="inlineStr">
        <is>
          <t>P/B</t>
        </is>
      </c>
      <c r="B28" s="26" t="n">
        <v>3.5</v>
      </c>
      <c r="C28" s="26" t="n">
        <v>8.181818181818182</v>
      </c>
      <c r="D28" s="26" t="n">
        <v>12.97619047619048</v>
      </c>
      <c r="E28" s="23" t="n">
        <v>135</v>
      </c>
      <c r="F28" s="23" t="n">
        <v>509.8171768707484</v>
      </c>
      <c r="G28" s="23" t="n">
        <v>322.4085884353742</v>
      </c>
    </row>
  </sheetData>
  <mergeCells count="3">
    <mergeCell ref="A13:H13"/>
    <mergeCell ref="A22:G22"/>
    <mergeCell ref="A1:M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7109375" customWidth="1" min="1" max="1"/>
    <col width="12.7109375" customWidth="1" min="2" max="26"/>
  </cols>
  <sheetData>
    <row r="1">
      <c r="A1" s="11" t="inlineStr">
        <is>
          <t>Sensitivity Tables</t>
        </is>
      </c>
      <c r="B1" s="27" t="n"/>
      <c r="C1" s="27" t="n"/>
      <c r="D1" s="27" t="n"/>
      <c r="E1" s="27" t="n"/>
      <c r="F1" s="27" t="n"/>
      <c r="G1" s="22" t="n"/>
    </row>
    <row r="3">
      <c r="A3" s="4" t="inlineStr">
        <is>
          <t>DCF — Implied Price (WACC × Terminal Growth)</t>
        </is>
      </c>
      <c r="B3" s="27" t="n"/>
      <c r="C3" s="27" t="n"/>
      <c r="D3" s="27" t="n"/>
      <c r="E3" s="27" t="n"/>
      <c r="F3" s="22" t="n"/>
    </row>
    <row r="4">
      <c r="A4" s="16" t="inlineStr">
        <is>
          <t>WACC \ Terminal g</t>
        </is>
      </c>
      <c r="B4" s="16" t="inlineStr">
        <is>
          <t>2.00%</t>
        </is>
      </c>
      <c r="C4" s="16" t="inlineStr">
        <is>
          <t>2.25%</t>
        </is>
      </c>
      <c r="D4" s="16" t="inlineStr">
        <is>
          <t>2.50%</t>
        </is>
      </c>
      <c r="E4" s="16" t="inlineStr">
        <is>
          <t>2.75%</t>
        </is>
      </c>
      <c r="F4" s="16" t="inlineStr">
        <is>
          <t>3.00%</t>
        </is>
      </c>
    </row>
    <row r="5">
      <c r="A5" s="2" t="inlineStr">
        <is>
          <t>9.40%</t>
        </is>
      </c>
      <c r="B5" s="23" t="n">
        <v>95.29515095792792</v>
      </c>
      <c r="C5" s="23" t="n">
        <v>96.29050302562308</v>
      </c>
      <c r="D5" s="23" t="n">
        <v>97.35801447417741</v>
      </c>
      <c r="E5" s="23" t="n">
        <v>98.50582737517983</v>
      </c>
      <c r="F5" s="23" t="n">
        <v>99.7433566154249</v>
      </c>
    </row>
    <row r="6">
      <c r="A6" s="2" t="inlineStr">
        <is>
          <t>9.90%</t>
        </is>
      </c>
      <c r="B6" s="23" t="n">
        <v>91.81869505812536</v>
      </c>
      <c r="C6" s="23" t="n">
        <v>92.67626713971624</v>
      </c>
      <c r="D6" s="23" t="n">
        <v>93.59180756490993</v>
      </c>
      <c r="E6" s="23" t="n">
        <v>94.57139956667483</v>
      </c>
      <c r="F6" s="23" t="n">
        <v>95.62200840221757</v>
      </c>
    </row>
    <row r="7">
      <c r="A7" s="2" t="inlineStr">
        <is>
          <t>10.40%</t>
        </is>
      </c>
      <c r="B7" s="23" t="n">
        <v>88.64483818819659</v>
      </c>
      <c r="C7" s="23" t="n">
        <v>89.38991541448344</v>
      </c>
      <c r="D7" s="23" t="n">
        <v>90.18216793907006</v>
      </c>
      <c r="E7" s="23" t="n">
        <v>91.02622266615617</v>
      </c>
      <c r="F7" s="23" t="n">
        <v>91.92733201930766</v>
      </c>
    </row>
    <row r="8">
      <c r="A8" s="2" t="inlineStr">
        <is>
          <t>10.90%</t>
        </is>
      </c>
      <c r="B8" s="23" t="n">
        <v>85.72654206989532</v>
      </c>
      <c r="C8" s="23" t="n">
        <v>86.37868781200827</v>
      </c>
      <c r="D8" s="23" t="n">
        <v>87.06966608410924</v>
      </c>
      <c r="E8" s="23" t="n">
        <v>87.80305179168266</v>
      </c>
      <c r="F8" s="23" t="n">
        <v>88.58287253753525</v>
      </c>
    </row>
    <row r="9">
      <c r="A9" s="2" t="inlineStr">
        <is>
          <t>11.40%</t>
        </is>
      </c>
      <c r="B9" s="23" t="n">
        <v>83.02663265691181</v>
      </c>
      <c r="C9" s="23" t="n">
        <v>83.60120845014625</v>
      </c>
      <c r="D9" s="23" t="n">
        <v>84.20807502967894</v>
      </c>
      <c r="E9" s="23" t="n">
        <v>84.85003317841755</v>
      </c>
      <c r="F9" s="23" t="n">
        <v>85.53021722890195</v>
      </c>
    </row>
    <row r="12">
      <c r="A12" s="4" t="inlineStr">
        <is>
          <t>LBO — Sponsor IRR (Entry × Exit)</t>
        </is>
      </c>
      <c r="B12" s="27" t="n"/>
      <c r="C12" s="27" t="n"/>
      <c r="D12" s="27" t="n"/>
      <c r="E12" s="27" t="n"/>
      <c r="F12" s="22" t="n"/>
    </row>
    <row r="13">
      <c r="A13" s="16" t="inlineStr">
        <is>
          <t>Entry × Exit</t>
        </is>
      </c>
      <c r="B13" s="16" t="inlineStr">
        <is>
          <t>7.0x</t>
        </is>
      </c>
      <c r="C13" s="16" t="inlineStr">
        <is>
          <t>7.5x</t>
        </is>
      </c>
      <c r="D13" s="16" t="inlineStr">
        <is>
          <t>8.0x</t>
        </is>
      </c>
      <c r="E13" s="16" t="inlineStr">
        <is>
          <t>8.5x</t>
        </is>
      </c>
      <c r="F13" s="16" t="inlineStr">
        <is>
          <t>9.0x</t>
        </is>
      </c>
    </row>
    <row r="14">
      <c r="A14" s="2" t="inlineStr">
        <is>
          <t>7.0x</t>
        </is>
      </c>
      <c r="B14" s="3" t="n">
        <v>0.1260596540547617</v>
      </c>
      <c r="C14" s="3" t="n">
        <v>0.1561555436697473</v>
      </c>
      <c r="D14" s="3" t="n">
        <v>0.1834093007841663</v>
      </c>
      <c r="E14" s="3" t="n">
        <v>0.2083616647742962</v>
      </c>
      <c r="F14" s="3" t="n">
        <v>0.2314085061541039</v>
      </c>
    </row>
    <row r="15">
      <c r="A15" s="2" t="inlineStr">
        <is>
          <t>7.5x</t>
        </is>
      </c>
      <c r="B15" s="3" t="n">
        <v>0.08386288922064644</v>
      </c>
      <c r="C15" s="3" t="n">
        <v>0.1128309973970697</v>
      </c>
      <c r="D15" s="3" t="n">
        <v>0.1390634761310207</v>
      </c>
      <c r="E15" s="3" t="n">
        <v>0.1630808017050637</v>
      </c>
      <c r="F15" s="3" t="n">
        <v>0.1852640102015061</v>
      </c>
    </row>
    <row r="16">
      <c r="A16" s="2" t="inlineStr">
        <is>
          <t>8.0x</t>
        </is>
      </c>
      <c r="B16" s="3" t="n">
        <v>0.04966966618956647</v>
      </c>
      <c r="C16" s="3" t="n">
        <v>0.07772390140888785</v>
      </c>
      <c r="D16" s="3" t="n">
        <v>0.1031288096033097</v>
      </c>
      <c r="E16" s="3" t="n">
        <v>0.1263884473017639</v>
      </c>
      <c r="F16" s="3" t="n">
        <v>0.1478718298301732</v>
      </c>
    </row>
    <row r="17">
      <c r="A17" s="2" t="inlineStr">
        <is>
          <t>8.5x</t>
        </is>
      </c>
      <c r="B17" s="3" t="n">
        <v>0.02107379728719561</v>
      </c>
      <c r="C17" s="3" t="n">
        <v>0.04836375850839324</v>
      </c>
      <c r="D17" s="3" t="n">
        <v>0.0730765676095434</v>
      </c>
      <c r="E17" s="3" t="n">
        <v>0.09570254924288879</v>
      </c>
      <c r="F17" s="3" t="n">
        <v>0.1166006657489009</v>
      </c>
    </row>
    <row r="18">
      <c r="A18" s="2" t="inlineStr">
        <is>
          <t>9.0x</t>
        </is>
      </c>
      <c r="B18" s="3" t="n">
        <v>-0.003404316913904752</v>
      </c>
      <c r="C18" s="3" t="n">
        <v>0.0232314244173194</v>
      </c>
      <c r="D18" s="3" t="n">
        <v>0.04735179547430956</v>
      </c>
      <c r="E18" s="3" t="n">
        <v>0.06943536639864989</v>
      </c>
      <c r="F18" s="3" t="n">
        <v>0.0898324941575398</v>
      </c>
    </row>
    <row r="21">
      <c r="A21" s="4" t="inlineStr">
        <is>
          <t>M&amp;A — Y1 Accretion (Premium × Cost-Synergy)</t>
        </is>
      </c>
      <c r="B21" s="27" t="n"/>
      <c r="C21" s="27" t="n"/>
      <c r="D21" s="27" t="n"/>
      <c r="E21" s="27" t="n"/>
      <c r="F21" s="22" t="n"/>
    </row>
    <row r="22">
      <c r="A22" s="16" t="inlineStr">
        <is>
          <t>Premium \ Cost Synergy %</t>
        </is>
      </c>
      <c r="B22" s="16" t="inlineStr">
        <is>
          <t>3.0%</t>
        </is>
      </c>
      <c r="C22" s="16" t="inlineStr">
        <is>
          <t>4.0%</t>
        </is>
      </c>
      <c r="D22" s="16" t="inlineStr">
        <is>
          <t>5.0%</t>
        </is>
      </c>
      <c r="E22" s="16" t="inlineStr">
        <is>
          <t>6.0%</t>
        </is>
      </c>
      <c r="F22" s="16" t="inlineStr">
        <is>
          <t>7.0%</t>
        </is>
      </c>
    </row>
    <row r="23">
      <c r="A23" s="2" t="inlineStr">
        <is>
          <t>20%</t>
        </is>
      </c>
      <c r="B23" s="3" t="n">
        <v>-0.03744023199803503</v>
      </c>
      <c r="C23" s="3" t="n">
        <v>-0.02863513914590765</v>
      </c>
      <c r="D23" s="3" t="n">
        <v>-0.01983004629378038</v>
      </c>
      <c r="E23" s="3" t="n">
        <v>-0.01102495344165311</v>
      </c>
      <c r="F23" s="3" t="n">
        <v>-0.002219860589525724</v>
      </c>
    </row>
    <row r="24">
      <c r="A24" s="2" t="inlineStr">
        <is>
          <t>25%</t>
        </is>
      </c>
      <c r="B24" s="3" t="n">
        <v>-0.04266924551655837</v>
      </c>
      <c r="C24" s="3" t="n">
        <v>-0.03391125081182789</v>
      </c>
      <c r="D24" s="3" t="n">
        <v>-0.02515325610709729</v>
      </c>
      <c r="E24" s="3" t="n">
        <v>-0.01639526140236669</v>
      </c>
      <c r="F24" s="3" t="n">
        <v>-0.007637266697636313</v>
      </c>
    </row>
    <row r="25">
      <c r="A25" s="2" t="inlineStr">
        <is>
          <t>30%</t>
        </is>
      </c>
      <c r="B25" s="3" t="n">
        <v>-0.04784261702522263</v>
      </c>
      <c r="C25" s="3" t="n">
        <v>-0.03913121929580887</v>
      </c>
      <c r="D25" s="3" t="n">
        <v>-0.03041982156639511</v>
      </c>
      <c r="E25" s="3" t="n">
        <v>-0.02170842383698135</v>
      </c>
      <c r="F25" s="3" t="n">
        <v>-0.01299702610756759</v>
      </c>
    </row>
    <row r="26">
      <c r="A26" s="2" t="inlineStr">
        <is>
          <t>35%</t>
        </is>
      </c>
      <c r="B26" s="3" t="n">
        <v>-0.05296122995489682</v>
      </c>
      <c r="C26" s="3" t="n">
        <v>-0.0442959359858529</v>
      </c>
      <c r="D26" s="3" t="n">
        <v>-0.0356306420168091</v>
      </c>
      <c r="E26" s="3" t="n">
        <v>-0.02696534804776518</v>
      </c>
      <c r="F26" s="3" t="n">
        <v>-0.01830005407872126</v>
      </c>
    </row>
    <row r="27">
      <c r="A27" s="2" t="inlineStr">
        <is>
          <t>40%</t>
        </is>
      </c>
      <c r="B27" s="3" t="n">
        <v>-0.05802594913320568</v>
      </c>
      <c r="C27" s="3" t="n">
        <v>-0.04940627349915704</v>
      </c>
      <c r="D27" s="3" t="n">
        <v>-0.04078659786510864</v>
      </c>
      <c r="E27" s="3" t="n">
        <v>-0.0321669222310601</v>
      </c>
      <c r="F27" s="3" t="n">
        <v>-0.02354724659701168</v>
      </c>
    </row>
  </sheetData>
  <mergeCells count="4">
    <mergeCell ref="A3:F3"/>
    <mergeCell ref="A21:F21"/>
    <mergeCell ref="A1:G1"/>
    <mergeCell ref="A12:F1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2.7109375" customWidth="1" min="1" max="1"/>
    <col width="16.7109375" customWidth="1" min="2" max="5"/>
  </cols>
  <sheetData>
    <row r="1">
      <c r="A1" s="11" t="inlineStr">
        <is>
          <t>Football Field — Implied Equity Value Range</t>
        </is>
      </c>
      <c r="B1" s="27" t="n"/>
      <c r="C1" s="27" t="n"/>
      <c r="D1" s="27" t="n"/>
      <c r="E1" s="27" t="n"/>
      <c r="F1" s="22" t="n"/>
    </row>
    <row r="3">
      <c r="A3" s="16" t="inlineStr">
        <is>
          <t>Method</t>
        </is>
      </c>
      <c r="B3" s="16" t="inlineStr">
        <is>
          <t>Low</t>
        </is>
      </c>
      <c r="C3" s="16" t="inlineStr">
        <is>
          <t>Mid</t>
        </is>
      </c>
      <c r="D3" s="16" t="inlineStr">
        <is>
          <t>High</t>
        </is>
      </c>
      <c r="E3" s="16" t="inlineStr">
        <is>
          <t>vs Current</t>
        </is>
      </c>
      <c r="F3" s="16" t="inlineStr">
        <is>
          <t>Source</t>
        </is>
      </c>
    </row>
    <row r="5">
      <c r="A5" s="2" t="inlineStr">
        <is>
          <t>52-Week Trading Range</t>
        </is>
      </c>
      <c r="B5" s="23" t="n">
        <v>56.34361163940462</v>
      </c>
      <c r="C5" s="23" t="n">
        <v>92.11525133244834</v>
      </c>
      <c r="D5" s="23" t="n">
        <v>127.8868910254921</v>
      </c>
      <c r="E5" s="3" t="n">
        <v>-0.1506200891429383</v>
      </c>
      <c r="F5" s="10" t="inlineStr">
        <is>
          <t>Trading history (last 252 days)</t>
        </is>
      </c>
    </row>
    <row r="6">
      <c r="A6" s="2" t="inlineStr">
        <is>
          <t>DCF (WACC ±100bps)</t>
        </is>
      </c>
      <c r="B6" s="23" t="n">
        <v>84.20781638091779</v>
      </c>
      <c r="C6" s="23" t="n">
        <v>90.18186192425722</v>
      </c>
      <c r="D6" s="23" t="n">
        <v>97.35764107788042</v>
      </c>
      <c r="E6" s="3" t="n">
        <v>-0.168447561786471</v>
      </c>
      <c r="F6" s="10" t="inlineStr">
        <is>
          <t>WACC sensitivity: 9.4% → 11.4%</t>
        </is>
      </c>
    </row>
    <row r="7">
      <c r="A7" s="2" t="inlineStr">
        <is>
          <t>Comps EV/EBITDA (p25 / median / p75)</t>
        </is>
      </c>
      <c r="B7" s="23" t="n">
        <v>210.6972754050074</v>
      </c>
      <c r="C7" s="23" t="n">
        <v>344.4520175601939</v>
      </c>
      <c r="D7" s="23" t="n">
        <v>478.2067597153804</v>
      </c>
      <c r="E7" s="3" t="n">
        <v>2.176136630338348</v>
      </c>
      <c r="F7" s="10" t="inlineStr">
        <is>
          <t>Peer median × subject EBITDA, p25/p75 bands</t>
        </is>
      </c>
    </row>
    <row r="8">
      <c r="A8" s="2" t="inlineStr">
        <is>
          <t>Comps P/E (p25 / median / p75)</t>
        </is>
      </c>
      <c r="B8" s="23" t="n">
        <v>276.0128893662728</v>
      </c>
      <c r="C8" s="23" t="n">
        <v>409.48729145733</v>
      </c>
      <c r="D8" s="23" t="n">
        <v>542.9616935483872</v>
      </c>
      <c r="E8" s="3" t="n">
        <v>2.775816426531397</v>
      </c>
      <c r="F8" s="10" t="inlineStr">
        <is>
          <t>Peer median × subject EPS</t>
        </is>
      </c>
    </row>
    <row r="9">
      <c r="A9" s="2" t="inlineStr">
        <is>
          <t>LBO (sponsor IRR 25% → 15%)</t>
        </is>
      </c>
      <c r="B9" s="23" t="n">
        <v>98.78971865928028</v>
      </c>
      <c r="C9" s="23" t="n">
        <v>105.2946148638262</v>
      </c>
      <c r="D9" s="23" t="n">
        <v>113.6494861714309</v>
      </c>
      <c r="E9" s="3" t="n">
        <v>-0.02909529862769755</v>
      </c>
      <c r="F9" s="10" t="inlineStr">
        <is>
          <t>Implied take-private price at sponsor IRR brackets</t>
        </is>
      </c>
    </row>
    <row r="11">
      <c r="A11" s="19" t="inlineStr">
        <is>
          <t>Current price</t>
        </is>
      </c>
      <c r="B11" s="23">
        <f>ib_px</f>
        <v/>
      </c>
    </row>
  </sheetData>
  <mergeCells count="1">
    <mergeCell ref="A1:F1"/>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35" t="inlineStr">
        <is>
          <t>Reverse-DCF — what does today's price require? (MU)</t>
        </is>
      </c>
    </row>
    <row r="3">
      <c r="A3" s="36" t="inlineStr">
        <is>
          <t>Headline implied assumptions</t>
        </is>
      </c>
    </row>
    <row r="4">
      <c r="A4" s="37" t="inlineStr">
        <is>
          <t>Current Enterprise Value</t>
        </is>
      </c>
      <c r="B4" s="38" t="n">
        <v>125350000000</v>
      </c>
    </row>
    <row r="5">
      <c r="A5" s="37" t="inlineStr">
        <is>
          <t>Current Share Price</t>
        </is>
      </c>
      <c r="B5" s="39" t="n">
        <v>108.45</v>
      </c>
    </row>
    <row r="7">
      <c r="A7" s="37" t="inlineStr">
        <is>
          <t>Implied perpetual growth rate</t>
        </is>
      </c>
      <c r="B7" s="40" t="n">
        <v>0.05775700212794771</v>
      </c>
    </row>
    <row r="8">
      <c r="A8" s="37" t="inlineStr">
        <is>
          <t>Preset growth assumption</t>
        </is>
      </c>
      <c r="B8" s="34" t="n">
        <v>0.025</v>
      </c>
    </row>
    <row r="9">
      <c r="A9" s="37" t="inlineStr">
        <is>
          <t>Spread vs preset (bps)</t>
        </is>
      </c>
      <c r="B9" s="41" t="n">
        <v>327.5700212794771</v>
      </c>
    </row>
    <row r="11">
      <c r="A11" s="37" t="inlineStr">
        <is>
          <t>Implied EBITDA margin (g held at preset)</t>
        </is>
      </c>
      <c r="B11" s="42" t="n">
        <v>0.4604182978077519</v>
      </c>
    </row>
    <row r="13">
      <c r="A13" s="36" t="inlineStr">
        <is>
          <t>Interpretation</t>
        </is>
      </c>
    </row>
    <row r="14" ht="60" customHeight="1">
      <c r="A14" s="43" t="inlineStr">
        <is>
          <t>Market implies 5.8% long-term growth — above global GDP. Requires the company to outgrow the world economy forever. Aggressive.</t>
        </is>
      </c>
    </row>
    <row r="17">
      <c r="A17" s="36" t="inlineStr">
        <is>
          <t>Joint sensitivity grid: EV implied / Current EV</t>
        </is>
      </c>
    </row>
    <row r="18" ht="32" customHeight="1">
      <c r="A18" s="43" t="inlineStr">
        <is>
          <t>Each cell = model EV at (margin, growth) ÷ current EV. Cells near 1.0 = where the market sits. Far above = model says cheap; far below = model says expensive.</t>
        </is>
      </c>
    </row>
    <row r="20">
      <c r="A20" s="44" t="inlineStr">
        <is>
          <t>EBITDA Margin \ Terminal g</t>
        </is>
      </c>
      <c r="B20" s="45" t="inlineStr">
        <is>
          <t>-1.0%</t>
        </is>
      </c>
      <c r="C20" s="45" t="inlineStr">
        <is>
          <t>0.0%</t>
        </is>
      </c>
      <c r="D20" s="45" t="inlineStr">
        <is>
          <t>1.5%</t>
        </is>
      </c>
      <c r="E20" s="45" t="inlineStr">
        <is>
          <t>2.5%</t>
        </is>
      </c>
      <c r="F20" s="45" t="inlineStr">
        <is>
          <t>3.5%</t>
        </is>
      </c>
      <c r="G20" s="45" t="inlineStr">
        <is>
          <t>4.5%</t>
        </is>
      </c>
    </row>
    <row r="21">
      <c r="A21" s="37" t="inlineStr">
        <is>
          <t>20%</t>
        </is>
      </c>
      <c r="B21" s="46" t="n">
        <v>0.03424950656410865</v>
      </c>
      <c r="C21" s="46" t="n">
        <v>0.02637493271096616</v>
      </c>
      <c r="D21" s="46" t="n">
        <v>0.01124399497133683</v>
      </c>
      <c r="E21" s="46" t="n">
        <v>-0.002036711908223807</v>
      </c>
      <c r="F21" s="46" t="n">
        <v>-0.01916860302733281</v>
      </c>
      <c r="G21" s="46" t="n">
        <v>-0.04211092147080753</v>
      </c>
    </row>
    <row r="22">
      <c r="A22" s="37" t="inlineStr">
        <is>
          <t>30%</t>
        </is>
      </c>
      <c r="B22" s="46" t="n">
        <v>0.3698708429325687</v>
      </c>
      <c r="C22" s="46" t="n">
        <v>0.3726642604270877</v>
      </c>
      <c r="D22" s="46" t="n">
        <v>0.3780317923060975</v>
      </c>
      <c r="E22" s="46" t="n">
        <v>0.3827429753655005</v>
      </c>
      <c r="F22" s="46" t="n">
        <v>0.3888203232015636</v>
      </c>
      <c r="G22" s="46" t="n">
        <v>0.3969588555082044</v>
      </c>
    </row>
    <row r="23">
      <c r="A23" s="37" t="inlineStr">
        <is>
          <t>35%</t>
        </is>
      </c>
      <c r="B23" s="46" t="n">
        <v>0.5376815111167987</v>
      </c>
      <c r="C23" s="46" t="n">
        <v>0.5458089242851485</v>
      </c>
      <c r="D23" s="46" t="n">
        <v>0.5614256909734777</v>
      </c>
      <c r="E23" s="46" t="n">
        <v>0.5751328190023627</v>
      </c>
      <c r="F23" s="46" t="n">
        <v>0.5928147863160117</v>
      </c>
      <c r="G23" s="46" t="n">
        <v>0.6164937439977102</v>
      </c>
    </row>
    <row r="24">
      <c r="A24" s="37" t="inlineStr">
        <is>
          <t>40%</t>
        </is>
      </c>
      <c r="B24" s="46" t="n">
        <v>0.7054921793010288</v>
      </c>
      <c r="C24" s="46" t="n">
        <v>0.7189535881432093</v>
      </c>
      <c r="D24" s="46" t="n">
        <v>0.744819589640858</v>
      </c>
      <c r="E24" s="46" t="n">
        <v>0.7675226626392249</v>
      </c>
      <c r="F24" s="46" t="n">
        <v>0.7968092494304601</v>
      </c>
      <c r="G24" s="47" t="n">
        <v>0.8360286324872163</v>
      </c>
    </row>
    <row r="25">
      <c r="A25" s="37" t="inlineStr">
        <is>
          <t>45%</t>
        </is>
      </c>
      <c r="B25" s="47" t="n">
        <v>0.8733028474852588</v>
      </c>
      <c r="C25" s="47" t="n">
        <v>0.8920982520012701</v>
      </c>
      <c r="D25" s="47" t="n">
        <v>0.9282134883082384</v>
      </c>
      <c r="E25" s="48" t="n">
        <v>0.9599125062760872</v>
      </c>
      <c r="F25" s="48" t="n">
        <v>1.000803712544908</v>
      </c>
      <c r="G25" s="47" t="n">
        <v>1.055563520976722</v>
      </c>
    </row>
    <row r="26">
      <c r="A26" s="37" t="inlineStr">
        <is>
          <t>50%</t>
        </is>
      </c>
      <c r="B26" s="48" t="n">
        <v>1.041113515669489</v>
      </c>
      <c r="C26" s="47" t="n">
        <v>1.065242915859331</v>
      </c>
      <c r="D26" s="47" t="n">
        <v>1.111607386975619</v>
      </c>
      <c r="E26" s="47" t="n">
        <v>1.152302349912949</v>
      </c>
      <c r="F26" s="49" t="n">
        <v>1.204798175659356</v>
      </c>
      <c r="G26" s="49" t="n">
        <v>1.275098409466228</v>
      </c>
    </row>
  </sheetData>
  <mergeCells count="6">
    <mergeCell ref="A18:H18"/>
    <mergeCell ref="A13:H13"/>
    <mergeCell ref="A14:H14"/>
    <mergeCell ref="A1:H1"/>
    <mergeCell ref="A3:B3"/>
    <mergeCell ref="A17:H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5" t="inlineStr">
        <is>
          <t>Reverse-LBO — max entry multiple at target sponsor IRR (MU)</t>
        </is>
      </c>
    </row>
    <row r="3">
      <c r="A3" s="36" t="inlineStr">
        <is>
          <t>Take-private price ceiling by IRR target</t>
        </is>
      </c>
    </row>
    <row r="4" ht="48" customHeight="1">
      <c r="A4" s="43" t="inlineStr">
        <is>
          <t>Solves bisection for the highest entry multiple at which the sponsor still hits target IRR, given preset exit and leverage. Premium &gt; 0 means the deal still works at a premium to current market.</t>
        </is>
      </c>
    </row>
    <row r="6">
      <c r="A6" s="45" t="inlineStr">
        <is>
          <t>Target IRR</t>
        </is>
      </c>
      <c r="B6" s="45" t="inlineStr">
        <is>
          <t>Max Entry Multiple</t>
        </is>
      </c>
      <c r="C6" s="45" t="inlineStr">
        <is>
          <t>Implied $/Share</t>
        </is>
      </c>
      <c r="D6" s="45" t="inlineStr">
        <is>
          <t>Premium to Market</t>
        </is>
      </c>
      <c r="E6" s="45" t="inlineStr">
        <is>
          <t>Read</t>
        </is>
      </c>
    </row>
    <row r="7">
      <c r="A7" s="37" t="inlineStr">
        <is>
          <t>15%</t>
        </is>
      </c>
      <c r="B7" s="26" t="n">
        <v>7.365811798959614</v>
      </c>
      <c r="C7" s="39" t="n">
        <v>113.6494861716153</v>
      </c>
      <c r="D7" s="50" t="n">
        <v>0.04794362537220165</v>
      </c>
      <c r="E7" s="51" t="inlineStr">
        <is>
          <t>Modest LBO premium possible</t>
        </is>
      </c>
    </row>
    <row r="8">
      <c r="A8" s="37" t="inlineStr">
        <is>
          <t>20%</t>
        </is>
      </c>
      <c r="B8" s="26" t="n">
        <v>6.840216157041569</v>
      </c>
      <c r="C8" s="39" t="n">
        <v>105.2946148639053</v>
      </c>
      <c r="D8" s="50" t="n">
        <v>-0.02909529862696825</v>
      </c>
      <c r="E8" s="51" t="inlineStr">
        <is>
          <t>PE near indifferent vs public price</t>
        </is>
      </c>
    </row>
    <row r="9">
      <c r="A9" s="37" t="inlineStr">
        <is>
          <t>25%</t>
        </is>
      </c>
      <c r="B9" s="26" t="n">
        <v>6.431000386936384</v>
      </c>
      <c r="C9" s="39" t="n">
        <v>98.78971865921537</v>
      </c>
      <c r="D9" s="50" t="n">
        <v>-0.08907589986892239</v>
      </c>
      <c r="E9" s="51" t="inlineStr">
        <is>
          <t>PE near indifferent vs public price</t>
        </is>
      </c>
    </row>
    <row r="10">
      <c r="A10" s="37" t="inlineStr">
        <is>
          <t>30%</t>
        </is>
      </c>
      <c r="B10" s="26" t="n">
        <v>6.109182322946092</v>
      </c>
      <c r="C10" s="39" t="n">
        <v>93.67409688708027</v>
      </c>
      <c r="D10" s="52" t="n">
        <v>-0.1362462251076048</v>
      </c>
      <c r="E10" s="51" t="inlineStr">
        <is>
          <t>Public &gt; LBO floor by 14%</t>
        </is>
      </c>
    </row>
    <row r="13">
      <c r="A13" s="36" t="inlineStr">
        <is>
          <t>How to use</t>
        </is>
      </c>
    </row>
    <row r="14" ht="70" customHeight="1">
      <c r="A14" s="43" t="inlineStr">
        <is>
          <t>Compare Implied $/Share at 20% IRR (PE base case) vs current market. If take-private &gt; current → public market is paying LESS than a sponsor would. If take-private &lt; current → public is paying MORE; sponsor wouldn't bid. Useful framework even outside actual buyout situations — tells you where 'patient capital' would step in.</t>
        </is>
      </c>
    </row>
  </sheetData>
  <mergeCells count="5">
    <mergeCell ref="A4:E4"/>
    <mergeCell ref="A1:E1"/>
    <mergeCell ref="A13:E13"/>
    <mergeCell ref="A14:E14"/>
    <mergeCell ref="A3:E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2.7109375" customWidth="1" min="1" max="1"/>
    <col width="22.7109375" customWidth="1" min="2" max="2"/>
    <col width="90.7109375" customWidth="1" min="3" max="3"/>
  </cols>
  <sheetData>
    <row r="1">
      <c r="A1" s="11" t="inlineStr">
        <is>
          <t>Sanity Checks — auto-flagged issues</t>
        </is>
      </c>
      <c r="B1" s="27" t="n"/>
      <c r="C1" s="22" t="n"/>
    </row>
    <row r="3">
      <c r="A3" s="16" t="inlineStr">
        <is>
          <t>Level</t>
        </is>
      </c>
      <c r="B3" s="16" t="inlineStr">
        <is>
          <t>Area</t>
        </is>
      </c>
      <c r="C3" s="16" t="inlineStr">
        <is>
          <t>Message</t>
        </is>
      </c>
    </row>
    <row r="5">
      <c r="A5" s="9" t="inlineStr">
        <is>
          <t>WARN</t>
        </is>
      </c>
      <c r="B5" s="2" t="inlineStr">
        <is>
          <t>LBO</t>
        </is>
      </c>
      <c r="C5" s="10" t="inlineStr">
        <is>
          <t>Sponsor IRR 10.3% &lt; typical 20%+ PE target. Either entry too rich, exit too low, or hold too short.</t>
        </is>
      </c>
    </row>
    <row r="6">
      <c r="A6" s="21" t="inlineStr">
        <is>
          <t>INFO</t>
        </is>
      </c>
      <c r="B6" s="2" t="inlineStr">
        <is>
          <t>Data</t>
        </is>
      </c>
      <c r="C6" s="10" t="inlineStr">
        <is>
          <t>1 fallback / imputation note(s) — see Notes tab.</t>
        </is>
      </c>
    </row>
  </sheetData>
  <mergeCells count="1">
    <mergeCell ref="A1:C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112"/>
  <sheetViews>
    <sheetView workbookViewId="0">
      <selection activeCell="A1" sqref="A1"/>
    </sheetView>
  </sheetViews>
  <sheetFormatPr baseColWidth="8" defaultRowHeight="15"/>
  <cols>
    <col width="100.7109375" customWidth="1" min="1" max="1"/>
  </cols>
  <sheetData>
    <row r="1">
      <c r="A1" s="11" t="inlineStr">
        <is>
          <t>Audit Trail</t>
        </is>
      </c>
    </row>
    <row r="2">
      <c r="A2" s="10" t="inlineStr">
        <is>
          <t>Every fallback or imputation used by the model is logged below.</t>
        </is>
      </c>
    </row>
    <row r="4">
      <c r="A4" s="10" t="inlineStr">
        <is>
          <t>[16:55:23] EBITDA margin set via winsorize of trailing 5y (values: [48.7, 44.3, -12.5, 34.6, 46.5]) → 41.8%.</t>
        </is>
      </c>
    </row>
    <row r="5">
      <c r="A5" s="10" t="inlineStr">
        <is>
          <t>[16:55:24] EBITDA margin set via winsorize of trailing 5y (values: [48.7, 44.3, -12.5, 34.6, 46.5]) → 41.8%.</t>
        </is>
      </c>
    </row>
    <row r="6">
      <c r="A6" s="10" t="inlineStr">
        <is>
          <t>[16:55:24] EBITDA margin set via winsorize of trailing 5y (values: [48.7, 44.3, -12.5, 34.6, 46.5]) → 41.8%.</t>
        </is>
      </c>
    </row>
    <row r="7">
      <c r="A7" s="10" t="inlineStr">
        <is>
          <t>[16:55:24] EBITDA margin set via winsorize of trailing 5y (values: [48.7, 44.3, -12.5, 34.6, 46.5]) → 41.8%.</t>
        </is>
      </c>
    </row>
    <row r="8">
      <c r="A8" s="10" t="inlineStr">
        <is>
          <t>[16:55:24] EBITDA margin set via winsorize of trailing 5y (values: [48.7, 44.3, -12.5, 34.6, 46.5]) → 41.8%.</t>
        </is>
      </c>
    </row>
    <row r="9">
      <c r="A9" s="10" t="inlineStr">
        <is>
          <t>[16:55:24] EBITDA margin set via winsorize of trailing 5y (values: [48.7, 44.3, -12.5, 34.6, 46.5]) → 41.8%.</t>
        </is>
      </c>
    </row>
    <row r="10">
      <c r="A10" s="10" t="inlineStr">
        <is>
          <t>[16:55:24] EBITDA margin set via winsorize of trailing 5y (values: [48.7, 44.3, -12.5, 34.6, 46.5]) → 41.8%.</t>
        </is>
      </c>
    </row>
    <row r="11">
      <c r="A11" s="10" t="inlineStr">
        <is>
          <t>[16:55:24] EBITDA margin set via winsorize of trailing 5y (values: [48.7, 44.3, -12.5, 34.6, 46.5]) → 41.8%.</t>
        </is>
      </c>
    </row>
    <row r="12">
      <c r="A12" s="10" t="inlineStr">
        <is>
          <t>[16:55:24] EBITDA margin set via winsorize of trailing 5y (values: [48.7, 44.3, -12.5, 34.6, 46.5]) → 41.8%.</t>
        </is>
      </c>
    </row>
    <row r="13">
      <c r="A13" s="10" t="inlineStr">
        <is>
          <t>[16:55:24] EBITDA margin set via winsorize of trailing 5y (values: [48.7, 44.3, -12.5, 34.6, 46.5]) → 41.8%.</t>
        </is>
      </c>
    </row>
    <row r="14">
      <c r="A14" s="10" t="inlineStr">
        <is>
          <t>[16:55:24] EBITDA margin set via winsorize of trailing 5y (values: [48.7, 44.3, -12.5, 34.6, 46.5]) → 41.8%.</t>
        </is>
      </c>
    </row>
    <row r="15">
      <c r="A15" s="10" t="inlineStr">
        <is>
          <t>[16:55:24] EBITDA margin set via winsorize of trailing 5y (values: [48.7, 44.3, -12.5, 34.6, 46.5]) → 41.8%.</t>
        </is>
      </c>
    </row>
    <row r="16">
      <c r="A16" s="10" t="inlineStr">
        <is>
          <t>[16:55:24] EBITDA margin set via winsorize of trailing 5y (values: [48.7, 44.3, -12.5, 34.6, 46.5]) → 41.8%.</t>
        </is>
      </c>
    </row>
    <row r="17">
      <c r="A17" s="10" t="inlineStr">
        <is>
          <t>[16:55:24] EBITDA margin set via winsorize of trailing 5y (values: [48.7, 44.3, -12.5, 34.6, 46.5]) → 41.8%.</t>
        </is>
      </c>
    </row>
    <row r="18">
      <c r="A18" s="10" t="inlineStr">
        <is>
          <t>[16:55:24] EBITDA margin set via winsorize of trailing 5y (values: [48.7, 44.3, -12.5, 34.6, 46.5]) → 41.8%.</t>
        </is>
      </c>
    </row>
    <row r="19">
      <c r="A19" s="10" t="inlineStr">
        <is>
          <t>[16:55:24] EBITDA margin set via winsorize of trailing 5y (values: [48.7, 44.3, -12.5, 34.6, 46.5]) → 41.8%.</t>
        </is>
      </c>
    </row>
    <row r="20">
      <c r="A20" s="10" t="inlineStr">
        <is>
          <t>[16:55:24] EBITDA margin set via winsorize of trailing 5y (values: [48.7, 44.3, -12.5, 34.6, 46.5]) → 41.8%.</t>
        </is>
      </c>
    </row>
    <row r="21">
      <c r="A21" s="10" t="inlineStr">
        <is>
          <t>[16:55:24] EBITDA margin set via winsorize of trailing 5y (values: [48.7, 44.3, -12.5, 34.6, 46.5]) → 41.8%.</t>
        </is>
      </c>
    </row>
    <row r="22">
      <c r="A22" s="10" t="inlineStr">
        <is>
          <t>[16:55:24] EBITDA margin set via winsorize of trailing 5y (values: [48.7, 44.3, -12.5, 34.6, 46.5]) → 41.8%.</t>
        </is>
      </c>
    </row>
    <row r="23">
      <c r="A23" s="10" t="inlineStr">
        <is>
          <t>[16:55:24] EBITDA margin set via winsorize of trailing 5y (values: [48.7, 44.3, -12.5, 34.6, 46.5]) → 41.8%.</t>
        </is>
      </c>
    </row>
    <row r="24">
      <c r="A24" s="10" t="inlineStr">
        <is>
          <t>[16:55:24] EBITDA margin set via winsorize of trailing 5y (values: [48.7, 44.3, -12.5, 34.6, 46.5]) → 41.8%.</t>
        </is>
      </c>
    </row>
    <row r="25">
      <c r="A25" s="10" t="inlineStr">
        <is>
          <t>[16:55:24] EBITDA margin set via winsorize of trailing 5y (values: [48.7, 44.3, -12.5, 34.6, 46.5]) → 41.8%.</t>
        </is>
      </c>
    </row>
    <row r="26">
      <c r="A26" s="10" t="inlineStr">
        <is>
          <t>[16:55:24] EBITDA margin set via winsorize of trailing 5y (values: [48.7, 44.3, -12.5, 34.6, 46.5]) → 41.8%.</t>
        </is>
      </c>
    </row>
    <row r="27">
      <c r="A27" s="10" t="inlineStr">
        <is>
          <t>[16:55:24] EBITDA margin set via winsorize of trailing 5y (values: [48.7, 44.3, -12.5, 34.6, 46.5]) → 41.8%.</t>
        </is>
      </c>
    </row>
    <row r="28">
      <c r="A28" s="10" t="inlineStr">
        <is>
          <t>[16:55:24] EBITDA margin set via winsorize of trailing 5y (values: [48.7, 44.3, -12.5, 34.6, 46.5]) → 41.8%.</t>
        </is>
      </c>
    </row>
    <row r="29">
      <c r="A29" s="10" t="inlineStr">
        <is>
          <t>[16:55:24] EBITDA margin set via winsorize of trailing 5y (values: [48.7, 44.3, -12.5, 34.6, 46.5]) → 41.8%.</t>
        </is>
      </c>
    </row>
    <row r="30">
      <c r="A30" s="10" t="inlineStr">
        <is>
          <t>[16:55:24] EBITDA margin set via winsorize of trailing 5y (values: [48.7, 44.3, -12.5, 34.6, 46.5]) → 41.8%.</t>
        </is>
      </c>
    </row>
    <row r="31">
      <c r="A31" s="10" t="inlineStr">
        <is>
          <t>[16:55:24] EBITDA margin set via winsorize of trailing 5y (values: [48.7, 44.3, -12.5, 34.6, 46.5]) → 41.8%.</t>
        </is>
      </c>
    </row>
    <row r="32">
      <c r="A32" s="10" t="inlineStr">
        <is>
          <t>[16:55:24] EBITDA margin set via winsorize of trailing 5y (values: [48.7, 44.3, -12.5, 34.6, 46.5]) → 41.8%.</t>
        </is>
      </c>
    </row>
    <row r="33">
      <c r="A33" s="10" t="inlineStr">
        <is>
          <t>[16:55:24] EBITDA margin set via winsorize of trailing 5y (values: [48.7, 44.3, -12.5, 34.6, 46.5]) → 41.8%.</t>
        </is>
      </c>
    </row>
    <row r="34">
      <c r="A34" s="10" t="inlineStr">
        <is>
          <t>[16:55:24] EBITDA margin set via winsorize of trailing 5y (values: [48.7, 44.3, -12.5, 34.6, 46.5]) → 41.8%.</t>
        </is>
      </c>
    </row>
    <row r="35">
      <c r="A35" s="10" t="inlineStr">
        <is>
          <t>[16:55:24] EBITDA margin set via winsorize of trailing 5y (values: [48.7, 44.3, -12.5, 34.6, 46.5]) → 41.8%.</t>
        </is>
      </c>
    </row>
    <row r="36">
      <c r="A36" s="10" t="inlineStr">
        <is>
          <t>[16:55:24] EBITDA margin set via winsorize of trailing 5y (values: [48.7, 44.3, -12.5, 34.6, 46.5]) → 41.8%.</t>
        </is>
      </c>
    </row>
    <row r="37">
      <c r="A37" s="10" t="inlineStr">
        <is>
          <t>[16:55:24] EBITDA margin set via winsorize of trailing 5y (values: [48.7, 44.3, -12.5, 34.6, 46.5]) → 41.8%.</t>
        </is>
      </c>
    </row>
    <row r="38">
      <c r="A38" s="10" t="inlineStr">
        <is>
          <t>[16:55:24] EBITDA margin set via winsorize of trailing 5y (values: [48.7, 44.3, -12.5, 34.6, 46.5]) → 41.8%.</t>
        </is>
      </c>
    </row>
    <row r="39">
      <c r="A39" s="10" t="inlineStr">
        <is>
          <t>[16:55:24] EBITDA margin set via winsorize of trailing 5y (values: [48.7, 44.3, -12.5, 34.6, 46.5]) → 41.8%.</t>
        </is>
      </c>
    </row>
    <row r="40">
      <c r="A40" s="10" t="inlineStr">
        <is>
          <t>[16:55:24] EBITDA margin set via winsorize of trailing 5y (values: [48.7, 44.3, -12.5, 34.6, 46.5]) → 41.8%.</t>
        </is>
      </c>
    </row>
    <row r="41">
      <c r="A41" s="10" t="inlineStr">
        <is>
          <t>[16:55:24] EBITDA margin set via winsorize of trailing 5y (values: [48.7, 44.3, -12.5, 34.6, 46.5]) → 41.8%.</t>
        </is>
      </c>
    </row>
    <row r="42">
      <c r="A42" s="10" t="inlineStr">
        <is>
          <t>[16:55:24] EBITDA margin set via winsorize of trailing 5y (values: [48.7, 44.3, -12.5, 34.6, 46.5]) → 41.8%.</t>
        </is>
      </c>
    </row>
    <row r="43">
      <c r="A43" s="10" t="inlineStr">
        <is>
          <t>[16:55:24] EBITDA margin set via winsorize of trailing 5y (values: [48.7, 44.3, -12.5, 34.6, 46.5]) → 41.8%.</t>
        </is>
      </c>
    </row>
    <row r="44">
      <c r="A44" s="10" t="inlineStr">
        <is>
          <t>[16:55:24] EBITDA margin set via winsorize of trailing 5y (values: [48.7, 44.3, -12.5, 34.6, 46.5]) → 41.8%.</t>
        </is>
      </c>
    </row>
    <row r="45">
      <c r="A45" s="10" t="inlineStr">
        <is>
          <t>[16:55:24] EBITDA margin set via winsorize of trailing 5y (values: [48.7, 44.3, -12.5, 34.6, 46.5]) → 41.8%.</t>
        </is>
      </c>
    </row>
    <row r="46">
      <c r="A46" s="10" t="inlineStr">
        <is>
          <t>[16:55:24] EBITDA margin set via winsorize of trailing 5y (values: [48.7, 44.3, -12.5, 34.6, 46.5]) → 41.8%.</t>
        </is>
      </c>
    </row>
    <row r="47">
      <c r="A47" s="10" t="inlineStr">
        <is>
          <t>[16:55:24] EBITDA margin set via winsorize of trailing 5y (values: [48.7, 44.3, -12.5, 34.6, 46.5]) → 41.8%.</t>
        </is>
      </c>
    </row>
    <row r="48">
      <c r="A48" s="10" t="inlineStr">
        <is>
          <t>[16:55:24] EBITDA margin set via winsorize of trailing 5y (values: [48.7, 44.3, -12.5, 34.6, 46.5]) → 41.8%.</t>
        </is>
      </c>
    </row>
    <row r="49">
      <c r="A49" s="10" t="inlineStr">
        <is>
          <t>[16:55:24] EBITDA margin set via winsorize of trailing 5y (values: [48.7, 44.3, -12.5, 34.6, 46.5]) → 41.8%.</t>
        </is>
      </c>
    </row>
    <row r="50">
      <c r="A50" s="10" t="inlineStr">
        <is>
          <t>[16:55:24] EBITDA margin set via winsorize of trailing 5y (values: [48.7, 44.3, -12.5, 34.6, 46.5]) → 41.8%.</t>
        </is>
      </c>
    </row>
    <row r="51">
      <c r="A51" s="10" t="inlineStr">
        <is>
          <t>[16:55:24] EBITDA margin set via winsorize of trailing 5y (values: [48.7, 44.3, -12.5, 34.6, 46.5]) → 41.8%.</t>
        </is>
      </c>
    </row>
    <row r="52">
      <c r="A52" s="10" t="inlineStr">
        <is>
          <t>[16:55:24] EBITDA margin set via winsorize of trailing 5y (values: [48.7, 44.3, -12.5, 34.6, 46.5]) → 41.8%.</t>
        </is>
      </c>
    </row>
    <row r="53">
      <c r="A53" s="10" t="inlineStr">
        <is>
          <t>[16:55:24] EBITDA margin set via winsorize of trailing 5y (values: [48.7, 44.3, -12.5, 34.6, 46.5]) → 41.8%.</t>
        </is>
      </c>
    </row>
    <row r="54">
      <c r="A54" s="10" t="inlineStr">
        <is>
          <t>[16:55:24] EBITDA margin set via winsorize of trailing 5y (values: [48.7, 44.3, -12.5, 34.6, 46.5]) → 41.8%.</t>
        </is>
      </c>
    </row>
    <row r="55">
      <c r="A55" s="10" t="inlineStr">
        <is>
          <t>[16:55:24] EBITDA margin set via winsorize of trailing 5y (values: [48.7, 44.3, -12.5, 34.6, 46.5]) → 41.8%.</t>
        </is>
      </c>
    </row>
    <row r="56">
      <c r="A56" s="10" t="inlineStr">
        <is>
          <t>[16:55:24] EBITDA margin set via winsorize of trailing 5y (values: [48.7, 44.3, -12.5, 34.6, 46.5]) → 41.8%.</t>
        </is>
      </c>
    </row>
    <row r="57">
      <c r="A57" s="10" t="inlineStr">
        <is>
          <t>[16:55:24] EBITDA margin set via winsorize of trailing 5y (values: [48.7, 44.3, -12.5, 34.6, 46.5]) → 41.8%.</t>
        </is>
      </c>
    </row>
    <row r="58">
      <c r="A58" s="10" t="inlineStr">
        <is>
          <t>[16:55:24] EBITDA margin set via winsorize of trailing 5y (values: [48.7, 44.3, -12.5, 34.6, 46.5]) → 41.8%.</t>
        </is>
      </c>
    </row>
    <row r="59">
      <c r="A59" s="10" t="inlineStr">
        <is>
          <t>[16:55:24] EBITDA margin set via winsorize of trailing 5y (values: [48.7, 44.3, -12.5, 34.6, 46.5]) → 41.8%.</t>
        </is>
      </c>
    </row>
    <row r="60">
      <c r="A60" s="10" t="inlineStr">
        <is>
          <t>[16:55:24] EBITDA margin set via winsorize of trailing 5y (values: [48.7, 44.3, -12.5, 34.6, 46.5]) → 41.8%.</t>
        </is>
      </c>
    </row>
    <row r="61">
      <c r="A61" s="10" t="inlineStr">
        <is>
          <t>[16:55:24] EBITDA margin set via winsorize of trailing 5y (values: [48.7, 44.3, -12.5, 34.6, 46.5]) → 41.8%.</t>
        </is>
      </c>
    </row>
    <row r="62">
      <c r="A62" s="10" t="inlineStr">
        <is>
          <t>[16:55:24] EBITDA margin set via winsorize of trailing 5y (values: [48.7, 44.3, -12.5, 34.6, 46.5]) → 41.8%.</t>
        </is>
      </c>
    </row>
    <row r="63">
      <c r="A63" s="10" t="inlineStr">
        <is>
          <t>[16:55:24] EBITDA margin set via winsorize of trailing 5y (values: [48.7, 44.3, -12.5, 34.6, 46.5]) → 41.8%.</t>
        </is>
      </c>
    </row>
    <row r="64">
      <c r="A64" s="10" t="inlineStr">
        <is>
          <t>[16:55:24] EBITDA margin set via winsorize of trailing 5y (values: [48.7, 44.3, -12.5, 34.6, 46.5]) → 41.8%.</t>
        </is>
      </c>
    </row>
    <row r="65">
      <c r="A65" s="10" t="inlineStr">
        <is>
          <t>[16:55:24] EBITDA margin set via winsorize of trailing 5y (values: [48.7, 44.3, -12.5, 34.6, 46.5]) → 41.8%.</t>
        </is>
      </c>
    </row>
    <row r="66">
      <c r="A66" s="10" t="inlineStr">
        <is>
          <t>[16:55:24] ⚠ Terminal value = 415% of EV (target &lt;80%). Consider longer explicit forecast or lower terminal growth.</t>
        </is>
      </c>
    </row>
    <row r="67">
      <c r="A67" s="10" t="inlineStr">
        <is>
          <t>[16:55:24] EBITDA margin set via winsorize of trailing 5y (values: [48.7, 44.3, -12.5, 34.6, 46.5]) → 41.8%.</t>
        </is>
      </c>
    </row>
    <row r="68">
      <c r="A68" s="10" t="inlineStr">
        <is>
          <t>[16:55:24] ⚠ Terminal value = 509% of EV (target &lt;80%). Consider longer explicit forecast or lower terminal growth.</t>
        </is>
      </c>
    </row>
    <row r="69">
      <c r="A69" s="10" t="inlineStr">
        <is>
          <t>[16:55:24] EBITDA margin set via winsorize of trailing 5y (values: [48.7, 44.3, -12.5, 34.6, 46.5]) → 41.8%.</t>
        </is>
      </c>
    </row>
    <row r="70">
      <c r="A70" s="10" t="inlineStr">
        <is>
          <t>[16:55:24] ⚠ Terminal value = 1059% of EV (target &lt;80%). Consider longer explicit forecast or lower terminal growth.</t>
        </is>
      </c>
    </row>
    <row r="71">
      <c r="A71" s="10" t="inlineStr">
        <is>
          <t>[16:55:24] EBITDA margin set via winsorize of trailing 5y (values: [48.7, 44.3, -12.5, 34.6, 46.5]) → 41.8%.</t>
        </is>
      </c>
    </row>
    <row r="72">
      <c r="A72" s="10" t="inlineStr">
        <is>
          <t>[16:55:24] EBITDA margin set via winsorize of trailing 5y (values: [48.7, 44.3, -12.5, 34.6, 46.5]) → 41.8%.</t>
        </is>
      </c>
    </row>
    <row r="73">
      <c r="A73" s="10" t="inlineStr">
        <is>
          <t>[16:55:24] EBITDA margin set via winsorize of trailing 5y (values: [48.7, 44.3, -12.5, 34.6, 46.5]) → 41.8%.</t>
        </is>
      </c>
    </row>
    <row r="74">
      <c r="A74" s="10" t="inlineStr">
        <is>
          <t>[16:55:24] EBITDA margin set via winsorize of trailing 5y (values: [48.7, 44.3, -12.5, 34.6, 46.5]) → 41.8%.</t>
        </is>
      </c>
    </row>
    <row r="75">
      <c r="A75" s="10" t="inlineStr">
        <is>
          <t>[16:55:24] ⚠ Terminal value = 94% of EV (target &lt;80%). Consider longer explicit forecast or lower terminal growth.</t>
        </is>
      </c>
    </row>
    <row r="76">
      <c r="A76" s="10" t="inlineStr">
        <is>
          <t>[16:55:24] EBITDA margin set via winsorize of trailing 5y (values: [48.7, 44.3, -12.5, 34.6, 46.5]) → 41.8%.</t>
        </is>
      </c>
    </row>
    <row r="77">
      <c r="A77" s="10" t="inlineStr">
        <is>
          <t>[16:55:24] ⚠ Terminal value = 94% of EV (target &lt;80%). Consider longer explicit forecast or lower terminal growth.</t>
        </is>
      </c>
    </row>
    <row r="78">
      <c r="A78" s="10" t="inlineStr">
        <is>
          <t>[16:55:24] EBITDA margin set via winsorize of trailing 5y (values: [48.7, 44.3, -12.5, 34.6, 46.5]) → 41.8%.</t>
        </is>
      </c>
    </row>
    <row r="79">
      <c r="A79" s="10" t="inlineStr">
        <is>
          <t>[16:55:24] ⚠ Terminal value = 95% of EV (target &lt;80%). Consider longer explicit forecast or lower terminal growth.</t>
        </is>
      </c>
    </row>
    <row r="80">
      <c r="A80" s="10" t="inlineStr">
        <is>
          <t>[16:55:24] EBITDA margin set via winsorize of trailing 5y (values: [48.7, 44.3, -12.5, 34.6, 46.5]) → 41.8%.</t>
        </is>
      </c>
    </row>
    <row r="81">
      <c r="A81" s="10" t="inlineStr">
        <is>
          <t>[16:55:24] ⚠ Terminal value = 95% of EV (target &lt;80%). Consider longer explicit forecast or lower terminal growth.</t>
        </is>
      </c>
    </row>
    <row r="82">
      <c r="A82" s="10" t="inlineStr">
        <is>
          <t>[16:55:24] EBITDA margin set via winsorize of trailing 5y (values: [48.7, 44.3, -12.5, 34.6, 46.5]) → 41.8%.</t>
        </is>
      </c>
    </row>
    <row r="83">
      <c r="A83" s="10" t="inlineStr">
        <is>
          <t>[16:55:24] ⚠ Terminal value = 95% of EV (target &lt;80%). Consider longer explicit forecast or lower terminal growth.</t>
        </is>
      </c>
    </row>
    <row r="84">
      <c r="A84" s="10" t="inlineStr">
        <is>
          <t>[16:55:24] EBITDA margin set via winsorize of trailing 5y (values: [48.7, 44.3, -12.5, 34.6, 46.5]) → 41.8%.</t>
        </is>
      </c>
    </row>
    <row r="85">
      <c r="A85" s="10" t="inlineStr">
        <is>
          <t>[16:55:24] ⚠ Terminal value = 95% of EV (target &lt;80%). Consider longer explicit forecast or lower terminal growth.</t>
        </is>
      </c>
    </row>
    <row r="86">
      <c r="A86" s="10" t="inlineStr">
        <is>
          <t>[16:55:24] EBITDA margin set via winsorize of trailing 5y (values: [48.7, 44.3, -12.5, 34.6, 46.5]) → 41.8%.</t>
        </is>
      </c>
    </row>
    <row r="87">
      <c r="A87" s="10" t="inlineStr">
        <is>
          <t>[16:55:24] EBITDA margin set via winsorize of trailing 5y (values: [48.7, 44.3, -12.5, 34.6, 46.5]) → 41.8%.</t>
        </is>
      </c>
    </row>
    <row r="88">
      <c r="A88" s="10" t="inlineStr">
        <is>
          <t>[16:55:24] EBITDA margin set via winsorize of trailing 5y (values: [48.7, 44.3, -12.5, 34.6, 46.5]) → 41.8%.</t>
        </is>
      </c>
    </row>
    <row r="89">
      <c r="A89" s="10" t="inlineStr">
        <is>
          <t>[16:55:24] EBITDA margin set via winsorize of trailing 5y (values: [48.7, 44.3, -12.5, 34.6, 46.5]) → 41.8%.</t>
        </is>
      </c>
    </row>
    <row r="90">
      <c r="A90" s="10" t="inlineStr">
        <is>
          <t>[16:55:24] ⚠ Terminal value = 85% of EV (target &lt;80%). Consider longer explicit forecast or lower terminal growth.</t>
        </is>
      </c>
    </row>
    <row r="91">
      <c r="A91" s="10" t="inlineStr">
        <is>
          <t>[16:55:24] EBITDA margin set via winsorize of trailing 5y (values: [48.7, 44.3, -12.5, 34.6, 46.5]) → 41.8%.</t>
        </is>
      </c>
    </row>
    <row r="92">
      <c r="A92" s="10" t="inlineStr">
        <is>
          <t>[16:55:24] ⚠ Terminal value = 86% of EV (target &lt;80%). Consider longer explicit forecast or lower terminal growth.</t>
        </is>
      </c>
    </row>
    <row r="93">
      <c r="A93" s="10" t="inlineStr">
        <is>
          <t>[16:55:24] EBITDA margin set via winsorize of trailing 5y (values: [48.7, 44.3, -12.5, 34.6, 46.5]) → 41.8%.</t>
        </is>
      </c>
    </row>
    <row r="94">
      <c r="A94" s="10" t="inlineStr">
        <is>
          <t>[16:55:24] ⚠ Terminal value = 86% of EV (target &lt;80%). Consider longer explicit forecast or lower terminal growth.</t>
        </is>
      </c>
    </row>
    <row r="95">
      <c r="A95" s="10" t="inlineStr">
        <is>
          <t>[16:55:24] EBITDA margin set via winsorize of trailing 5y (values: [48.7, 44.3, -12.5, 34.6, 46.5]) → 41.8%.</t>
        </is>
      </c>
    </row>
    <row r="96">
      <c r="A96" s="10" t="inlineStr">
        <is>
          <t>[16:55:24] EBITDA margin set via winsorize of trailing 5y (values: [48.7, 44.3, -12.5, 34.6, 46.5]) → 41.8%.</t>
        </is>
      </c>
    </row>
    <row r="97">
      <c r="A97" s="10" t="inlineStr">
        <is>
          <t>[16:55:24] EBITDA margin set via winsorize of trailing 5y (values: [48.7, 44.3, -12.5, 34.6, 46.5]) → 41.8%.</t>
        </is>
      </c>
    </row>
    <row r="98">
      <c r="A98" s="10" t="inlineStr">
        <is>
          <t>[16:55:24] EBITDA margin set via winsorize of trailing 5y (values: [48.7, 44.3, -12.5, 34.6, 46.5]) → 41.8%.</t>
        </is>
      </c>
    </row>
    <row r="99">
      <c r="A99" s="10" t="inlineStr">
        <is>
          <t>[16:55:24] EBITDA margin set via winsorize of trailing 5y (values: [48.7, 44.3, -12.5, 34.6, 46.5]) → 41.8%.</t>
        </is>
      </c>
    </row>
    <row r="100">
      <c r="A100" s="10" t="inlineStr">
        <is>
          <t>[16:55:24] EBITDA margin set via winsorize of trailing 5y (values: [48.7, 44.3, -12.5, 34.6, 46.5]) → 41.8%.</t>
        </is>
      </c>
    </row>
    <row r="101">
      <c r="A101" s="10" t="inlineStr">
        <is>
          <t>[16:55:24] EBITDA margin set via winsorize of trailing 5y (values: [48.7, 44.3, -12.5, 34.6, 46.5]) → 41.8%.</t>
        </is>
      </c>
    </row>
    <row r="102">
      <c r="A102" s="10" t="inlineStr">
        <is>
          <t>[16:55:24] EBITDA margin set via winsorize of trailing 5y (values: [48.7, 44.3, -12.5, 34.6, 46.5]) → 41.8%.</t>
        </is>
      </c>
    </row>
    <row r="103">
      <c r="A103" s="10" t="inlineStr">
        <is>
          <t>[16:55:24] EBITDA margin set via winsorize of trailing 5y (values: [48.7, 44.3, -12.5, 34.6, 46.5]) → 41.8%.</t>
        </is>
      </c>
    </row>
    <row r="104">
      <c r="A104" s="10" t="inlineStr">
        <is>
          <t>[16:55:24] EBITDA margin set via winsorize of trailing 5y (values: [48.7, 44.3, -12.5, 34.6, 46.5]) → 41.8%.</t>
        </is>
      </c>
    </row>
    <row r="105">
      <c r="A105" s="10" t="inlineStr">
        <is>
          <t>[16:55:24] EBITDA margin set via winsorize of trailing 5y (values: [48.7, 44.3, -12.5, 34.6, 46.5]) → 41.8%.</t>
        </is>
      </c>
    </row>
    <row r="106">
      <c r="A106" s="10" t="inlineStr">
        <is>
          <t>[16:55:24] EBITDA margin set via winsorize of trailing 5y (values: [48.7, 44.3, -12.5, 34.6, 46.5]) → 41.8%.</t>
        </is>
      </c>
    </row>
    <row r="107">
      <c r="A107" s="10" t="inlineStr">
        <is>
          <t>[16:55:24] EBITDA margin set via winsorize of trailing 5y (values: [48.7, 44.3, -12.5, 34.6, 46.5]) → 41.8%.</t>
        </is>
      </c>
    </row>
    <row r="108">
      <c r="A108" s="10" t="inlineStr">
        <is>
          <t>[16:55:24] EBITDA margin set via winsorize of trailing 5y (values: [48.7, 44.3, -12.5, 34.6, 46.5]) → 41.8%.</t>
        </is>
      </c>
    </row>
    <row r="109">
      <c r="A109" s="10" t="inlineStr">
        <is>
          <t>[16:55:24] EBITDA margin set via winsorize of trailing 5y (values: [48.7, 44.3, -12.5, 34.6, 46.5]) → 41.8%.</t>
        </is>
      </c>
    </row>
    <row r="110">
      <c r="A110" s="10" t="inlineStr">
        <is>
          <t>[16:55:24] EBITDA margin set via winsorize of trailing 5y (values: [48.7, 44.3, -12.5, 34.6, 46.5]) → 41.8%.</t>
        </is>
      </c>
    </row>
    <row r="111">
      <c r="A111" s="10" t="inlineStr">
        <is>
          <t>[16:55:24] EBITDA margin set via winsorize of trailing 5y (values: [48.7, 44.3, -12.5, 34.6, 46.5]) → 41.8%.</t>
        </is>
      </c>
    </row>
    <row r="112">
      <c r="A112" s="10" t="inlineStr">
        <is>
          <t>[16:55:24] EBITDA margin set via winsorize of trailing 5y (values: [48.7, 44.3, -12.5, 34.6, 46.5]) → 41.8%.</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2026-05-06T16:55:25Z</dcterms:created>
  <dcterms:modified xmlns:dcterms="http://purl.org/dc/terms/" xmlns:xsi="http://www.w3.org/2001/XMLSchema-instance" xsi:type="dcterms:W3CDTF">2026-05-06T16:55:25Z</dcterms:modified>
</cp:coreProperties>
</file>